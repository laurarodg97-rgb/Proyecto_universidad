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629b9d6346f09aeb/Documents/SEMESTRE VIII/Consultoria e Investigación/Referencias Proyecto U/"/>
    </mc:Choice>
  </mc:AlternateContent>
  <xr:revisionPtr revIDLastSave="4" documentId="8_{75ADA0EF-9EA0-4FCE-B086-A7340211D495}" xr6:coauthVersionLast="47" xr6:coauthVersionMax="47" xr10:uidLastSave="{9D52B30A-8D1E-4F3C-8978-284ADE3C3437}"/>
  <bookViews>
    <workbookView xWindow="-108" yWindow="-108" windowWidth="23256" windowHeight="13896" tabRatio="500" activeTab="3" xr2:uid="{00000000-000D-0000-FFFF-FFFF00000000}"/>
  </bookViews>
  <sheets>
    <sheet name="Instrucciones" sheetId="1" r:id="rId1"/>
    <sheet name="Referencias" sheetId="2" r:id="rId2"/>
    <sheet name="Conteo" sheetId="3" r:id="rId3"/>
    <sheet name="Registro" sheetId="4" r:id="rId4"/>
  </sheets>
  <definedNames>
    <definedName name="_xlnm._FilterDatabase" localSheetId="1" hidden="1">Referencias!$A$5:$R$50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6" i="2" l="1"/>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B28" i="3"/>
  <c r="B27" i="3"/>
  <c r="B26" i="3"/>
  <c r="F11" i="3"/>
  <c r="E11" i="3"/>
  <c r="D11" i="3"/>
  <c r="C11" i="3"/>
  <c r="F10" i="3"/>
  <c r="E10" i="3"/>
  <c r="D10" i="3"/>
  <c r="C10" i="3"/>
  <c r="F9" i="3"/>
  <c r="E9" i="3"/>
  <c r="D9" i="3"/>
  <c r="C9" i="3"/>
  <c r="B5" i="3"/>
  <c r="B4" i="3"/>
  <c r="N50" i="2"/>
  <c r="N49" i="2"/>
  <c r="N48" i="2"/>
  <c r="N47" i="2"/>
  <c r="N46" i="2"/>
  <c r="N45" i="2"/>
  <c r="N44" i="2"/>
  <c r="N43" i="2"/>
  <c r="N42" i="2"/>
  <c r="N41" i="2"/>
  <c r="L11" i="3" l="1"/>
  <c r="K10" i="3"/>
  <c r="C18" i="3"/>
  <c r="B17" i="3"/>
  <c r="C19" i="3"/>
  <c r="L10" i="3"/>
  <c r="C17" i="3"/>
  <c r="K9" i="3"/>
  <c r="L9" i="3"/>
  <c r="E17" i="3"/>
  <c r="B18" i="3"/>
  <c r="D18" i="3" s="1"/>
  <c r="C26" i="3"/>
  <c r="D26" i="3" s="1"/>
  <c r="G11" i="3"/>
  <c r="H11" i="3"/>
  <c r="J11" i="3" s="1"/>
  <c r="E18" i="3"/>
  <c r="B19" i="3"/>
  <c r="D19" i="3" s="1"/>
  <c r="C27" i="3"/>
  <c r="D27" i="3" s="1"/>
  <c r="G10" i="3"/>
  <c r="H10" i="3"/>
  <c r="G9" i="3"/>
  <c r="K11" i="3"/>
  <c r="H9" i="3"/>
  <c r="I9" i="3" s="1"/>
  <c r="E19" i="3"/>
  <c r="C28" i="3"/>
  <c r="D28" i="3" s="1"/>
  <c r="J10" i="3" l="1"/>
  <c r="I10" i="3"/>
  <c r="I11" i="3"/>
  <c r="J9" i="3"/>
  <c r="D17" i="3"/>
  <c r="C20" i="3"/>
  <c r="E20" i="3"/>
  <c r="B20" i="3"/>
  <c r="D20" i="3" l="1"/>
</calcChain>
</file>

<file path=xl/sharedStrings.xml><?xml version="1.0" encoding="utf-8"?>
<sst xmlns="http://schemas.openxmlformats.org/spreadsheetml/2006/main" count="789" uniqueCount="407">
  <si>
    <t>Nada sin fuente · Plantilla de conteo del experimento (semana 1) · Equipo de 3</t>
  </si>
  <si>
    <t>Sirve para clasificar referencias por consulta y tratamiento, calcular proporciones con intervalo y reportar el desacuerdo de clasificación.</t>
  </si>
  <si>
    <t>Quién es quién</t>
  </si>
  <si>
    <t>Q1, Q2, Q3</t>
  </si>
  <si>
    <t>Son las TRES CONSULTAS, una por integrante (no los tratamientos). Q1 = Integrante 1 (tú), Q2 = Integrante 2, Q3 = Integrante 3. Cambia los nombres en la celda de color junto a cada bloque si quieres usar nombres reales.</t>
  </si>
  <si>
    <t>A, B, C</t>
  </si>
  <si>
    <t>Son los TRES TRATAMIENTOS. Cada consulta se corre en los tres: A = chat sin fuentes ni navegación (control); B = buscador conectado a bases bibliográficas (Consensus); C = contexto cerrado con sus propios PDF. Son 3 consultas × 3 tratamientos = 9 corridas en total.</t>
  </si>
  <si>
    <t>Cómo usarla</t>
  </si>
  <si>
    <t>1. Registro</t>
  </si>
  <si>
    <t>Completa la hoja «Registro»: hay una fila por cada combinación consulta × tratamiento (9 filas). Cada integrante llena las 3 filas de su propia consulta (una por tratamiento) con herramienta, fecha y el prompt exacto.</t>
  </si>
  <si>
    <t>2. Regla de selección</t>
  </si>
  <si>
    <t>Ya está fijada abajo en 5 referencias por respuesta (ajústala si tu equipo decidió otro número; si cambias el número tendría que rehacerse la hoja «Referencias»).</t>
  </si>
  <si>
    <t>3. Clasificar</t>
  </si>
  <si>
    <t>En «Referencias», abre cada documento (DOI o URL) y clasifícalo en las columnas amarillas. LOS TRES INTEGRANTES clasifican las MISMAS 45 referencias (no solo las de su propia consulta), cada uno en su columna, sin consultarse ni mirar las de los demás. Trabaja en tu propia copia del archivo y luego se juntan las columnas.</t>
  </si>
  <si>
    <t>4. Consenso</t>
  </si>
  <si>
    <t>Donde la columna «¿Coincide?» diga «No», discutan y anoten la clasificación final acordada. Esa es la que usa la hoja «Conteo».</t>
  </si>
  <si>
    <t>5. Conteo</t>
  </si>
  <si>
    <t>La hoja «Conteo» calcula solo: n, categorías, proporción utilizable con intervalo (Wilson y Clopper-Pearson) por tratamiento, y el desacuerdo de clasificación. No escribas nada allí salvo el nivel de confianza.</t>
  </si>
  <si>
    <t>Un solo archivo para el equipo</t>
  </si>
  <si>
    <t>Este archivo es COMPARTIDO. Lo único que se hace en copias separadas es la clasificación a ciegas (paso 3); todo lo demás —referencias, registro, clasificación final, conteos— vive en un único archivo maestro.</t>
  </si>
  <si>
    <t>Colores</t>
  </si>
  <si>
    <t>Amarillo + letra azul</t>
  </si>
  <si>
    <t>Celdas que deben llenar ustedes.</t>
  </si>
  <si>
    <t>Gris</t>
  </si>
  <si>
    <t>Precargado desde la salida de Consensus para Q1 (CSV y tabla «Estudios Prioritarios»). Verifíquenlo: no es bibliografía aceptada.</t>
  </si>
  <si>
    <t>Rosado / verde / azul claro (en «Referencias»)</t>
  </si>
  <si>
    <t>Marcan a qué consulta pertenece cada bloque de filas: Q1, Q2, Q3.</t>
  </si>
  <si>
    <t>Sin relleno</t>
  </si>
  <si>
    <t>Fórmulas. No las modifiquen.</t>
  </si>
  <si>
    <t>Categorías (según el enunciado)</t>
  </si>
  <si>
    <t>Utilizable</t>
  </si>
  <si>
    <t>Existe (se encuentra por DOI o título) y dice lo que se le atribuye.</t>
  </si>
  <si>
    <t>Existe pero no dice eso</t>
  </si>
  <si>
    <t>La referencia es real, pero la afirmación no se sostiene en el texto.</t>
  </si>
  <si>
    <t>No existe</t>
  </si>
  <si>
    <t>No se encuentra por DOI ni por título.</t>
  </si>
  <si>
    <t>Advertencia sobre las columnas H e I de Q1-B</t>
  </si>
  <si>
    <t>«¿Trata cobro por crédito?» y «Alerta preliminar» en las filas de Q1-B salen de una comparación hecha con ayuda de Claude entre la tabla de prioritarios y los abstracts del CSV. NO es una verificación: no se abrieron los documentos. Decláralo en el «Uso de IA» y no lo uses como fuente; lo que cuenta es lo que ustedes verifiquen (columna «Ubicación»).</t>
  </si>
  <si>
    <t>«Verificado por»</t>
  </si>
  <si>
    <t>Debe ser el nombre de quien realmente abrió el documento. Es lo que exige la tabla de trazabilidad.</t>
  </si>
  <si>
    <t>Regla de selección de referencias</t>
  </si>
  <si>
    <t xml:space="preserve">5 referencias por respuesta, las primeras 5 que entregó la herramienta. </t>
  </si>
  <si>
    <t>Referencias por consulta y tratamiento (una fila por referencia)</t>
  </si>
  <si>
    <t>Bloques de 5 filas: primero por TRATAMIENTO (A, B, C) y dentro de cada uno, por CONSULTA (Q1, Q2, Q3 — el color de fondo de la columna «Consulta» las distingue). El bloque Q1 dentro de B trae precargada, en gris, la salida de Consensus.</t>
  </si>
  <si>
    <t>LOS TRES INTEGRANTES clasifican las 45 filas completas (no solo las de su propia consulta).</t>
  </si>
  <si>
    <t>ID</t>
  </si>
  <si>
    <t>Trat.</t>
  </si>
  <si>
    <t>Consulta</t>
  </si>
  <si>
    <t>Referencia (autores, año, título)</t>
  </si>
  <si>
    <t>Revista / fuente</t>
  </si>
  <si>
    <t>DOI o URL</t>
  </si>
  <si>
    <t>Afirmación que la herramienta le atribuye</t>
  </si>
  <si>
    <t>¿Trata cobro por crédito? (preliminar)</t>
  </si>
  <si>
    <t>Alerta preliminar (tabla vs. abstract del CSV)</t>
  </si>
  <si>
    <t>¿DOI/URL resuelve?</t>
  </si>
  <si>
    <t>Clasificación · Integrante 1</t>
  </si>
  <si>
    <t>Clasificación · Integrante 2</t>
  </si>
  <si>
    <t>Clasificación · Integrante 3</t>
  </si>
  <si>
    <t>¿Coincide?</t>
  </si>
  <si>
    <t>Clasificación final</t>
  </si>
  <si>
    <t>Ubicación (página o cita textual)</t>
  </si>
  <si>
    <t>Verificado por</t>
  </si>
  <si>
    <t>Fecha</t>
  </si>
  <si>
    <t>Notas</t>
  </si>
  <si>
    <t>A-Q1-01</t>
  </si>
  <si>
    <t>A</t>
  </si>
  <si>
    <t>Q1</t>
  </si>
  <si>
    <t>Volk, A., Plinske, M., &amp; Bell, R. (2017). The impact of plateau tuition structures on student credit loads and institutional revenues.</t>
  </si>
  <si>
    <t>Journal of Higher Education Policy and Management, 39(4), 412–428</t>
  </si>
  <si>
    <t>10.1080/1360080X.2017.1330801</t>
  </si>
  <si>
    <t>Carga promedio de 13.1 créditos/sem. bajo per-credit vs. 13.9 bajo plateau.</t>
  </si>
  <si>
    <t>Sí: plateau vs. per-credit y créditos/semestre</t>
  </si>
  <si>
    <t>DOI verificado: no resuelve a este artículo (resuelve a un artículo no relacionado). No se encontró rastro de Volk, Plinske &amp; Bell en esa revista. Fuerte indicio de referencia inventada.</t>
  </si>
  <si>
    <t>A-Q1-02</t>
  </si>
  <si>
    <t>Monks, J., &amp; Tenliberg, R. (2008). Tuition price structures and student enrollment decisions in private higher education.</t>
  </si>
  <si>
    <t>Economics of Education Review, 27(6), 687–698</t>
  </si>
  <si>
    <t>10.1016/j.econedurev.2007.09.004</t>
  </si>
  <si>
    <t>Per-credit incrementa la probabilidad de tiempo parcial o reducir 1–2 asignaturas por semestre.</t>
  </si>
  <si>
    <t>Sí: per-credit y decisión de tiempo parcial</t>
  </si>
  <si>
    <t>Sin verificar aún. "Financial Higher Education Quarterly" (ver A-Q1-03) y "Journal of Student Financial Aid" con ese DOI (ver A-Q1-04) no dan confianza; revisar con el mismo cuidado.</t>
  </si>
  <si>
    <t>A-Q1-03</t>
  </si>
  <si>
    <t>Tidball, O., Smith, J., &amp; Miller, K. (2015). Marginal costs and course taking: Evidence from public university pricing schemes.</t>
  </si>
  <si>
    <t>Financial Higher Education Quarterly, 41(2), 145–162</t>
  </si>
  <si>
    <t>10.1007/s10734-014-9811-1</t>
  </si>
  <si>
    <t>Elasticidad de demanda de créditos de −0.18 bajo strict per-credit.</t>
  </si>
  <si>
    <t>Sí: costo marginal por crédito y elasticidad</t>
  </si>
  <si>
    <t>El DOI (10.1007/s10734-...) es un prefijo real de Springer/Higher Education, pero "Financial Higher Education Quarterly" no aparece como revista conocida del área. Verificar si el DOI resuelve.</t>
  </si>
  <si>
    <t>A-Q1-04</t>
  </si>
  <si>
    <t>Gansemer-Topf, A., Matney, M., &amp; Pallas, M. (2018). Evaluating the financial and academic trade-offs of tuition structure changes.</t>
  </si>
  <si>
    <t>Journal of Student Financial Aid, 48(1), 33–51</t>
  </si>
  <si>
    <t>10.55770/jsfa.v48i1.1042</t>
  </si>
  <si>
    <t>Per-credit genera más ingreso por crédito en cargas bajas (1–11) pero reduce recaudo agregado por deserción antes del 5º semestre.</t>
  </si>
  <si>
    <t>Sí: per-credit y recaudo por carga baja</t>
  </si>
  <si>
    <t>El DOI (10.55770/...) usa un prefijo poco común; "Journal of Student Financial Aid" es una revista real pero hay que confirmar que el número y el artículo existan. Verificar.</t>
  </si>
  <si>
    <t>A-Q1-05</t>
  </si>
  <si>
    <t>Denning, J. T., Marx, B. M., &amp; Turner, L. J. (2019). Proportional pricing and student success: Evidence from higher education pricing reforms.</t>
  </si>
  <si>
    <t>American Economic Journal: Economic Policy, 11(2), 110–138</t>
  </si>
  <si>
    <t>10.1257/pol.20170412</t>
  </si>
  <si>
    <t>Eliminar el costo marginal (proportional pricing) estimula finalización de asignaturas sin bajar el GPA.</t>
  </si>
  <si>
    <t>Sí: eliminación de costo marginal (proportional pricing)</t>
  </si>
  <si>
    <t>Denning, Marx &amp; Turner (2019) en AEJ: Economic Policy es un patrón de cita plausible (autores que sí trabajan el tema); vale la pena verificar primero, podría ser el único "utilizable" de los cinco.</t>
  </si>
  <si>
    <t>A-Q2-01</t>
  </si>
  <si>
    <t>Q2</t>
  </si>
  <si>
    <t>Knight, W. E., &amp; Hakel, M. D. (2013). Curricular Load and Academic Progress: The Revenue Implications of Flat-Rate vs. Per-Credit Tuition.</t>
  </si>
  <si>
    <t>AIR Professional File (Association for Institutional Research)</t>
  </si>
  <si>
    <t>https://www.airweb.org/resources/publications/professional-file?utm_source=gemini</t>
  </si>
  <si>
    <t>El paso de cobro por bloque a cobro por crédito reduce el número promedio de créditos matriculados por estudiante de tiempo completo, lo que impacta negativamente los ingresos por matrícula a menos que la tarifa unitaria por crédito se incremente proporcionalmente.</t>
  </si>
  <si>
    <t>Sí</t>
  </si>
  <si>
    <t>Altamente verosímil. Publicación técnica de referencia en gestión institucional y economía de la educación superior en EE. UU.</t>
  </si>
  <si>
    <t>A-Q2-02</t>
  </si>
  <si>
    <t>Volkwein, J. F., &amp; Lenth, C. S. (2007). State Policy and Public University Tuition: The Financial Consequences of Tuition Structure Choices.</t>
  </si>
  <si>
    <t>The Journal of Higher Education</t>
  </si>
  <si>
    <t xml:space="preserve">https://www.google.com/search?q=https://doi.org/10.1080/00221546.2007.11772076&amp;utm_source=gemini
</t>
  </si>
  <si>
    <t>El esquema de cobro por crédito favorece la captación de estudiantes no tradicionales y de tiempo parcial, pero desincentiva la graduación a tiempo en estudiantes tradicionales, erosionando la retención a largo plazo.</t>
  </si>
  <si>
    <t>Altamente verosímil. Estudio clásico ampliamente citado sobre estructuras tarifarias y financiamiento público en educación superior.</t>
  </si>
  <si>
    <t>A-Q2-03</t>
  </si>
  <si>
    <t>DesJardins, S. L., &amp; Bell, A. (2006). Using Economic Models to Estimate the Revenue and Enrollment Effects of Alternative Tuition Structures.</t>
  </si>
  <si>
    <t>Research in Higher Education</t>
  </si>
  <si>
    <t>https://www.google.com/search?q=https://doi.org/10.1007/s11162-006-9018-9&amp;utm_source=gemini</t>
  </si>
  <si>
    <t>Los cambios en la estructura de matrícula generan una reconfiguración de la demanda: el cobro por crédito aumenta la sensibilidad al precio por cada asignatura adicional, afectando el volumen total de créditos vendidos.</t>
  </si>
  <si>
    <t>Altamente verosímil. Modelo econométrico riguroso enfocado en elasticidad de la demanda en matriculación universitaria.</t>
  </si>
  <si>
    <t>A-Q2-04</t>
  </si>
  <si>
    <t>Baine, N., &amp; Brakora, K. (2024). Tuition Equity and Institutional Revenue: A Study of the Impacts of Block vs. Credit Tuition.</t>
  </si>
  <si>
    <t>IEEE Transactions on Education / Higher Education Policy Studies</t>
  </si>
  <si>
    <t>https://www.google.com/search?q=https://doi.org/10.1109/TE.2024.1041234&amp;utm_source=gemini</t>
  </si>
  <si>
    <t>El cobro en bloque subsidia implÃ­citamente a los estudiantes que toman sobrecargas académicas a expensas de los estudiantes de menor carga, mientras que el cobro por crédito alinea los ingresos directos con el costo marginal de impartir cada curso.</t>
  </si>
  <si>
    <t>Requiere verificación rigurosa. Aunque aborda los principios económicos teóricos vigentes sobre equidad tarifaria e ingresos, la atribución formal del DOI específico debe validarse frente a los catálogos finales de la publicación.</t>
  </si>
  <si>
    <t>A-Q2-05</t>
  </si>
  <si>
    <t>Gansemer-Topf, A. M., &amp; Schuh, J. H. (2006). Institutional Expenditures and Graduation Rates: Understanding the Functional Expenses That Influence Student Success.</t>
  </si>
  <si>
    <t>Journal of Student Affairs Research and Practice</t>
  </si>
  <si>
    <t>https://www.google.com/search?q=https://doi.org/10.2202/1949-6605.1678&amp;utm_source=gemini</t>
  </si>
  <si>
    <t>Un modelo tarifario que desacelere la progresión crediticia incrementa los costos institucionales indirectos de reclutamiento y retención, afectando el margen neto final de la universidad a mediano plazo.</t>
  </si>
  <si>
    <t>Altamente verosímil. Fundamento teórico clave para analizar el impacto indirecto de la duración de la carrera sobre los costos operacionales de la institución.</t>
  </si>
  <si>
    <t>A-Q3-01</t>
  </si>
  <si>
    <t>Q3</t>
  </si>
  <si>
    <t>A-Q3-02</t>
  </si>
  <si>
    <t>A-Q3-03</t>
  </si>
  <si>
    <t>A-Q3-04</t>
  </si>
  <si>
    <t>A-Q3-05</t>
  </si>
  <si>
    <t>B-Q1-01</t>
  </si>
  <si>
    <t>B</t>
  </si>
  <si>
    <t>Hemelt, S. W., &amp; Stange, K. M. (2014). Marginal pricing and student investment in higher education.</t>
  </si>
  <si>
    <t>Journal of Policy Analysis and Management</t>
  </si>
  <si>
    <t>https://doi.org/10.1002/pam.21891</t>
  </si>
  <si>
    <t>Cero precio marginal sobre 12 créditos eleva intentos de créditos en una fracción modesta, con más retiros y menor desempeño.</t>
  </si>
  <si>
    <t>Sí: precio marginal por crédito (más de 12 créditos)</t>
  </si>
  <si>
    <t>El abstract da un 7 % de estudiantes que intentan hasta una clase más; no reporta una elasticidad. Indica impactos mínimos en créditos aprobados y avance a tiempo (la tabla lo omite). No mide ingresos institucionales.</t>
  </si>
  <si>
    <t>B-Q1-02</t>
  </si>
  <si>
    <t>Hemelt, S. W., &amp; Marcotte, D. E. (2011). The impact of tuition increases on enrollment at public colleges and universities.</t>
  </si>
  <si>
    <t>Educational Evaluation and Policy Analysis</t>
  </si>
  <si>
    <t>https://doi.org/10.3102/0162373711415261</t>
  </si>
  <si>
    <t>La elasticidad de total enrollment es -0.0958; también cae total credit hours.</t>
  </si>
  <si>
    <t>Otro mecanismo: nivel de matrícula (no estructura de cobro)</t>
  </si>
  <si>
    <t>El abstract reporta elasticidad de la matrícula (headcount) de -0,0958. Dice que examinaron credit hours pero no reporta ese resultado: verificar «cae total credit hours» en el texto completo.</t>
  </si>
  <si>
    <t>B-Q1-03</t>
  </si>
  <si>
    <t>Ward, J., &amp; Corral, D. (2022). Resetting prices: Estimating the effect of tuition reset policies on institutional finances and enrollment.</t>
  </si>
  <si>
    <t>https://doi.org/10.1007/s11162-022-09723-6</t>
  </si>
  <si>
    <t>Net tuition revenue por FTE permanece estable; escasa evidencia de gains de enrollment de largo plazo.</t>
  </si>
  <si>
    <t>Otro mecanismo: reducción del precio de lista (tuition reset)</t>
  </si>
  <si>
    <t>«Por FTE» no aparece en el abstract (dice que el ingreso neto por matrícula parece no relacionado con los resets). Un reset es un recorte del precio de lista, no un cambio de estructura de cobro.</t>
  </si>
  <si>
    <t>B-Q1-04</t>
  </si>
  <si>
    <t>Curs, B. R., &amp; Singell, L. D. (2010). Aim high or go low? Pricing strategies and enrollment effects when the net price elasticity varies with need and ability.</t>
  </si>
  <si>
    <t>https://doi.org/10.1080/00221546.2010.11779063</t>
  </si>
  <si>
    <t>Estrategias high tuition/high aid pueden reducir tuition revenue.</t>
  </si>
  <si>
    <t>Otro mecanismo: alta matrícula/alta ayuda</t>
  </si>
  <si>
    <t>El abstract respalda el resultado (simulación con datos de aspirantes a una universidad pública grande). Otro mecanismo y una sola institución.</t>
  </si>
  <si>
    <t>B-Q1-05</t>
  </si>
  <si>
    <t>Johnson, N. (2016). Aligning student and institution incentives in higher education finance.</t>
  </si>
  <si>
    <t>(sin revista ni DOI en el CSV)</t>
  </si>
  <si>
    <t>https://consensus.app/papers/aligning-student-and-institution-incentives-in-higher-johnson/24ff620a82e959729c48e2ccce24d3e7/</t>
  </si>
  <si>
    <t>Los credit hours son un driver primario de revenue institucional.</t>
  </si>
  <si>
    <t>Comentario/informe, no revisado por pares (relaciona créditos e ingresos)</t>
  </si>
  <si>
    <t>Sin revista ni DOI; solo enlace de Consensus. El abstract lo afirma, pero es una afirmación, no evidencia empírica. Localizar la fuente original.</t>
  </si>
  <si>
    <t>B-Q2-01</t>
  </si>
  <si>
    <t>Hemelt, S. W., &amp; Stange, K. M. (s.f.), "Marginal Pricing and Student Investment in Higher Education"</t>
  </si>
  <si>
    <t>Journal of Policy Analysis and Management (EE. UU.)</t>
  </si>
  <si>
    <t>https://consensus.app/papers/marginal-pricing-and-student-investment-in-higher-hemelt-stange/c97a0c599b575124b84285f3838460df/</t>
  </si>
  <si>
    <t>Reducir el precio marginal por crédito a cero induce a un 7% de estudiantes a intentar una clase adicional (3 créditos), pero eleva abandonos y reduce rendimiento académico, con impacto mínimo en créditos completados a tiempo </t>
  </si>
  <si>
    <t>Coincide plenamente con el abstract; compara directamente precio marginal por crédito frente a precio marginal cero</t>
  </si>
  <si>
    <t>B-Q2-02</t>
  </si>
  <si>
    <t>Baine, N., &amp; Brakora, K. F. (2024), "Tuition Equity: A Study of the Disparate Impacts of Block Tuition"</t>
  </si>
  <si>
    <t>2024 ASEE Annual Conference &amp; Exposition Proceedings (EE. UU.)</t>
  </si>
  <si>
    <t>https://consensus.app/papers/tuition-equity-a-study-of-the-disparate-impacts-of-block-baine-brakora/156d9ccdd844583f9ef7cc51e4cceced/</t>
  </si>
  <si>
    <t>La matrícula en bloque (12-15 créditos a costo de 12 por crédito) equivale a un descuento de hasta 20%, pero penaliza a estudiantes de bajos ingresos o ingeniería que pagan más por crédito al no alcanzar los 15 créditos </t>
  </si>
  <si>
    <t>Coincide con el texto y abstract; evalúa la inequidad del cobro por bloque frente a la tasa por crédito horario</t>
  </si>
  <si>
    <t>B-Q2-03</t>
  </si>
  <si>
    <t>Keenan, C., Chhatwal, G. S., &amp; Wang, J. (2015), "A Study of the Effects and Policy Implications of Flat Rate Tuition"</t>
  </si>
  <si>
    <t>International Journal of Research in Education Methodology (EE. UU.)</t>
  </si>
  <si>
    <t>https://consensus.app/papers/a-study-of-the-effects-and-policy-implications-of-flat-rate-keenan-chhatwal/29f850483b125d2c9f4e35706a9af81e/</t>
  </si>
  <si>
    <t>Los estudiantes responden favorablemente a la tarifa plana aumentando su carga académica semestral y mejorando el progreso académico respecto al esquema estricto por crédito </t>
  </si>
  <si>
    <t>Coincide plenamente con el abstract y la introducción del artículo</t>
  </si>
  <si>
    <t>B-Q2-04</t>
  </si>
  <si>
    <t>Hemelt, S. W., &amp; Marcotte, D. E. (2011), "The Impact of Tuition Increases on Enrollment at Public Colleges and Universities"</t>
  </si>
  <si>
    <t>Educational Evaluation and Policy Analysis (EE. UU.)</t>
  </si>
  <si>
    <t>https://consensus.app/papers/the-impact-of-tuition-increases-on-enrollment-at-public-hemelt-marcotte/a90095cad36b584488692543d9d54236/</t>
  </si>
  <si>
    <t>La elasticidad precio de la matrícula es de −0.0958 globalmente; el ajuste marginal de créditos ante aumentos de matrícula tiende a ser mayor en instituciones que cobran por hora-crédito que con tarifa plana semestral </t>
  </si>
  <si>
    <t>Coincide con los hallazgos reportados; analiza la respuesta marginal de créditos según el esquema de cobro</t>
  </si>
  <si>
    <t>B-Q2-05</t>
  </si>
  <si>
    <t>Johnson, N. (2016), "Aligning Student And Institution Incentives In Higher Education Finance"</t>
  </si>
  <si>
    <t>Informe de política institucional (EE. UU.)</t>
  </si>
  <si>
    <t>El modelo institucional tradicional de "dinero por crédito" incentiva a las universidades a incrementar ingresos vendiendo más horas-crédito por estudiante o subiendo el precio unitario por crédito </t>
  </si>
  <si>
    <t>Coincide plenamente con el abstract; analiza la dependencia institucional de los ingresos por crédito</t>
  </si>
  <si>
    <t>B-Q3-01</t>
  </si>
  <si>
    <t>B-Q3-02</t>
  </si>
  <si>
    <t>B-Q3-03</t>
  </si>
  <si>
    <t>B-Q3-04</t>
  </si>
  <si>
    <t>B-Q3-05</t>
  </si>
  <si>
    <t>C-Q1-01</t>
  </si>
  <si>
    <t>C</t>
  </si>
  <si>
    <r>
      <rPr>
        <sz val="10"/>
        <rFont val="Arial"/>
        <family val="2"/>
        <charset val="1"/>
      </rPr>
      <t xml:space="preserve">Curs, B. R., &amp; Singell, L. D. Jr. (2009). </t>
    </r>
    <r>
      <rPr>
        <i/>
        <sz val="11"/>
        <color theme="1"/>
        <rFont val="Calibri"/>
        <family val="2"/>
        <charset val="1"/>
      </rPr>
      <t>Aim High or Go Low? Pricing Strategies and Enrollment Effects when the Net Price Elasticity Varies with Need and Ability.</t>
    </r>
    <r>
      <rPr>
        <sz val="11"/>
        <color theme="1"/>
        <rFont val="Calibri"/>
        <family val="2"/>
        <charset val="1"/>
      </rPr>
      <t xml:space="preserve"> Manuscrito, University of Oregon.</t>
    </r>
  </si>
  <si>
    <t>Manuscrito (no publicado en el documento adjunto)</t>
  </si>
  <si>
    <t>No aparece en el documento adjunto</t>
  </si>
  <si>
    <t>Elasticidad del precio neto: −0,87 residentes, −1,20 no residentes; una política low tuition/low aid aumentaría el ingreso neto en ~US$601 por residente y ~US$339 por no residente.</t>
  </si>
  <si>
    <t>No directamente: estudia precio neto y ayuda financiera (HH/LL), no compara per-credit vs. plateau como tratamiento.</t>
  </si>
  <si>
    <r>
      <rPr>
        <sz val="10"/>
        <rFont val="Arial"/>
        <family val="2"/>
        <charset val="1"/>
      </rPr>
      <t>Cruce con B:</t>
    </r>
    <r>
      <rPr>
        <sz val="11"/>
        <color theme="1"/>
        <rFont val="Calibri"/>
        <family val="2"/>
        <charset val="1"/>
      </rPr>
      <t xml:space="preserve"> en tu tratamiento B, Consensus dio "Curs, B. R., &amp; Singell, L. D. (2010)" en </t>
    </r>
    <r>
      <rPr>
        <i/>
        <sz val="11"/>
        <color theme="1"/>
        <rFont val="Calibri"/>
        <family val="2"/>
        <charset val="1"/>
      </rPr>
      <t>The Journal of Higher Education</t>
    </r>
    <r>
      <rPr>
        <sz val="11"/>
        <color theme="1"/>
        <rFont val="Calibri"/>
        <family val="2"/>
        <charset val="1"/>
      </rPr>
      <t>, con DOI 10.1080/00221546.2010.11779063. Aquí en C aparece como manuscrito de 2009 sin DOI. Es probable que sea la misma investigación (working paper → publicación), pero hay que confirmarlo: revisen si el DOI de B corresponde a este mismo estudio.</t>
    </r>
  </si>
  <si>
    <t>C-Q1-02</t>
  </si>
  <si>
    <r>
      <rPr>
        <sz val="10"/>
        <rFont val="Arial"/>
        <family val="2"/>
        <charset val="1"/>
      </rPr>
      <t xml:space="preserve">Baine, N. A., &amp; Brakora, K. (2024). </t>
    </r>
    <r>
      <rPr>
        <i/>
        <sz val="11"/>
        <color theme="1"/>
        <rFont val="Calibri"/>
        <family val="2"/>
        <charset val="1"/>
      </rPr>
      <t>Tuition Equity: A Study of the Disparate Impacts of Block Tuition.</t>
    </r>
    <r>
      <rPr>
        <sz val="11"/>
        <color theme="1"/>
        <rFont val="Calibri"/>
        <family val="2"/>
        <charset val="1"/>
      </rPr>
      <t xml:space="preserve"> ASEE, Paper ID #44145.</t>
    </r>
  </si>
  <si>
    <t>American Society for Engineering Education (ASEE)</t>
  </si>
  <si>
    <t>Block tuition en GVSU da un descuento de hasta 20% (paga 12 de 15 créditos); estudiantes de ingeniería transferidos tienen descuento efectivo ~7,1% vs. ~14% para no transferidos.</t>
  </si>
  <si>
    <t>Parcial: estudia block/plateau tuition y lo usa como referencia de cálculo frente al cobro por crédito, pero no estima el revenue institucional bajo ambos escenarios.</t>
  </si>
  <si>
    <r>
      <rPr>
        <sz val="10"/>
        <rFont val="Arial"/>
        <family val="2"/>
        <charset val="1"/>
      </rPr>
      <t>Mismo estudio que B-Q1 (extra):</t>
    </r>
    <r>
      <rPr>
        <sz val="11"/>
        <color theme="1"/>
        <rFont val="Calibri"/>
        <family val="2"/>
        <charset val="1"/>
      </rPr>
      <t xml:space="preserve"> es el mismo Baine &amp; Brakora "Disparate Impacts of Block Tuition" que ya tienes en el bloque de extras de B. Comparen si el "¿Trata cobro por crédito?" y el resumen coinciden entre lo que dijo Consensus y lo que dice el sistema anclado — es un buen punto para la memoria.</t>
    </r>
  </si>
  <si>
    <t>C-Q1-03</t>
  </si>
  <si>
    <t>C-Q1-04</t>
  </si>
  <si>
    <t>C-Q1-05</t>
  </si>
  <si>
    <t>C-Q2-01</t>
  </si>
  <si>
    <t>C-Q2-02</t>
  </si>
  <si>
    <t>C-Q2-03</t>
  </si>
  <si>
    <t>C-Q2-04</t>
  </si>
  <si>
    <t>C-Q2-05</t>
  </si>
  <si>
    <t>C-Q3-01</t>
  </si>
  <si>
    <t>C-Q3-02</t>
  </si>
  <si>
    <t>C-Q3-03</t>
  </si>
  <si>
    <t>C-Q3-04</t>
  </si>
  <si>
    <t>C-Q3-05</t>
  </si>
  <si>
    <t>Gansemer-Topf, A., Orazem, P. F., &amp; Wohlgemuth, D. R. (2021). Do liberal arts colleges maximize profit?</t>
  </si>
  <si>
    <t>Southern Economic Journal</t>
  </si>
  <si>
    <t>https://doi.org/10.1002/soej.12521</t>
  </si>
  <si>
    <t>405 liberal arts colleges. Net tuition varía más idiosincráticamente que enrollment; ingresos y matrícula están estrechamente ligados en undergraduate institutions.</t>
  </si>
  <si>
    <t>Otro mecanismo: matrícula que maximiza el ingreso neto</t>
  </si>
  <si>
    <t>«405 colleges» y el resultado de la tabla NO aparecen en el abstract del CSV. El enlace de la tabla apunta a una nota de NACUBO, no al artículo; el DOI del CSV es otro. Verificar en el texto completo.</t>
  </si>
  <si>
    <t>Baine, N., &amp; Brakora, K. F. (2024). Tuition equity: A study of the disparate impacts of block tuition.</t>
  </si>
  <si>
    <t>2024 ASEE Annual Conference &amp; Exposition Proceedings</t>
  </si>
  <si>
    <t>https://doi.org/10.18260/1-2--48180</t>
  </si>
  <si>
    <t>Block tuition incentiva 15 créditos pero distribuye mal el descuento.</t>
  </si>
  <si>
    <t>Tarifa plana (block tuition 12–15 créditos): solo comparador</t>
  </si>
  <si>
    <t>El «takeaway» del CSV invierte el resultado (dice que estudiantes Pell, de color y transfer tienen ventaja); el abstract dice que son quienes menos se benefician y pagan más por crédito. Un solo caso (GVSU); actas de congreso.</t>
  </si>
  <si>
    <t>Baine, N., &amp; Brakora, K. F. (2024). Tuition equity: A study of the impact of upper/lower division tuition rates.</t>
  </si>
  <si>
    <t>ASEE Annual Conference &amp; Exposition Proceedings (el CSV indica 2023)</t>
  </si>
  <si>
    <t>https://doi.org/10.18260/1-2--44522</t>
  </si>
  <si>
    <t>Simulación con attempted credits. Upper/lower division pricing sobrecarga a Pell, transfer y estudiantes de color cuando hay créditos «wasted».</t>
  </si>
  <si>
    <t>Otro mecanismo: tarifas por división superior/inferior</t>
  </si>
  <si>
    <t>El abstract no reporta el resultado y habla de créditos obtenidos al graduarse, no de una «simulación con attempted credits». El CSV dice año 2024 pero la revista es 2023: verificar el año.</t>
  </si>
  <si>
    <t>Minor, R. (2023). How tuition fees affected student enrollment at higher education institutions: the aftermath of a German quasi-experiment.</t>
  </si>
  <si>
    <t>Journal for Labour Market Research</t>
  </si>
  <si>
    <t>https://doi.org/10.1186/s12651-023-00354-7</t>
  </si>
  <si>
    <t>Cobrar tuition redujo first-year enrollment alrededor de 3.8–8.1 %.</t>
  </si>
  <si>
    <t>Otro mecanismo: pasar de gratis a cobrar (Alemania)</t>
  </si>
  <si>
    <t>La tabla dice 3,8–8,1 %; el abstract dice 3,8–7 %. Verificar el 8,1 % en el texto completo.</t>
  </si>
  <si>
    <t>Bachmeier, M., &amp; Marcus, J. (2026). The effect of tuition fees on university graduation.</t>
  </si>
  <si>
    <t>Education Finance and Policy</t>
  </si>
  <si>
    <t>https://doi.org/10.1162/edfp.a.460</t>
  </si>
  <si>
    <t>Graduation cae 2 pp; menos que la caída en enrollment.</t>
  </si>
  <si>
    <t>Coincide con el abstract (-2,0 pp de graduación; -3,4 pp de matrícula). Confirmar que el DOI resuelve.</t>
  </si>
  <si>
    <t>Conteo por tratamiento (calculado a partir de «Referencias» · Clasificación final, las 3 consultas juntas)</t>
  </si>
  <si>
    <t>Nivel de confianza</t>
  </si>
  <si>
    <t>Supuesto elegido por nosotros (valor usual); cámbialo si tu diseño usa otro.</t>
  </si>
  <si>
    <t>α</t>
  </si>
  <si>
    <t>z</t>
  </si>
  <si>
    <t>Tratamiento</t>
  </si>
  <si>
    <t>Descripción</t>
  </si>
  <si>
    <t>n clasificadas</t>
  </si>
  <si>
    <t>Chequeo</t>
  </si>
  <si>
    <t>Proporción utilizable</t>
  </si>
  <si>
    <t>Wilson · inferior</t>
  </si>
  <si>
    <t>Wilson · superior</t>
  </si>
  <si>
    <t>Clopper-Pearson · inferior</t>
  </si>
  <si>
    <t>Clopper-Pearson · superior</t>
  </si>
  <si>
    <t>Chat sin fuentes ni navegación (control)</t>
  </si>
  <si>
    <t>Buscador conectado a bases bibliográficas</t>
  </si>
  <si>
    <t>Contexto cerrado con sus propios PDF</t>
  </si>
  <si>
    <t>Con pocas referencias por tratamiento los intervalos son anchos: dilo en la interpretación. Wilson es una opción usual con n pequeño; Clopper-Pearson (exacto) es más conservador. Elige uno y justifícalo en la memoria.</t>
  </si>
  <si>
    <t>Desacuerdo de clasificación (entre los 3 integrantes, las 3 consultas juntas)</t>
  </si>
  <si>
    <t>Referencias con 2 o más clasificaciones</t>
  </si>
  <si>
    <t>No coincidieron</t>
  </si>
  <si>
    <t>% de desacuerdo</t>
  </si>
  <si>
    <t>De esas, involucran «Existe pero no dice eso»</t>
  </si>
  <si>
    <t>Total</t>
  </si>
  <si>
    <t>El enunciado pide reportar en cuántas no coincidió la clasificación y por qué. La categoría intermedia suele concentrar el desacuerdo: la última columna lo mide.</t>
  </si>
  <si>
    <t>Acuerdo entre integrantes (opcional) · pares de columnas</t>
  </si>
  <si>
    <t>Par</t>
  </si>
  <si>
    <t>Clasificadas por ambos</t>
  </si>
  <si>
    <t>Acuerdo observado (po)</t>
  </si>
  <si>
    <t>Kappa aprox.</t>
  </si>
  <si>
    <t>Integrante 1 vs. 2</t>
  </si>
  <si>
    <t>Integrante 1 vs. 3</t>
  </si>
  <si>
    <t>Integrante 2 vs. 3</t>
  </si>
  <si>
    <t>Con n pequeño interprétalo con cautela; lo que exige el enunciado es el conteo de la sección anterior.</t>
  </si>
  <si>
    <t>Registro del experimento (9 filas: 3 consultas × 3 tratamientos)</t>
  </si>
  <si>
    <t>Cada integrante llena las 3 filas de su propia consulta (una por tratamiento): herramienta y versión, fecha y el prompt exacto.</t>
  </si>
  <si>
    <t>Integrante</t>
  </si>
  <si>
    <t>Herramienta y versión</t>
  </si>
  <si>
    <t>Fecha de la consulta</t>
  </si>
  <si>
    <t>Prompt o consulta exacta (pégalo sin editar)</t>
  </si>
  <si>
    <t xml:space="preserve">Integrante 1 ROA </t>
  </si>
  <si>
    <t>Gemini</t>
  </si>
  <si>
    <t>Realiza una revisión de literatura científica sobre la siguiente pregunta de investigación: ¿Qué efectos tiene el cobro de matrícula universitaria estrictamente por crédito sobre los ingresos financieros de las instituciones de educación superior y sobre la cantidad de créditos que los estudiantes deciden cursar, en comparación con los esquemas de matrícula de tarifa plana o “plateau tuition”? Busca principalmente artículos científicos revisados por pares, estudios empíricos y documentos académicos publicados en revistas de educación superior, economía de la educación, finanzas universitarias o políticas públicas. Prioriza investigaciones que analicen universidades o sistemas de educación superior y que presenten evidencia cuantitativa. En la búsqueda: 1. Diferencia claramente entre: Strict per-credit tuition: el estudiante paga proporcionalmente por cada crédito cursado. Flat-rate / plateau tuition: el estudiante paga una tarifa fija dentro de un rango de créditos. 2. Identifica evidencia sobre los siguientes resultados: ingresos o revenue por matrícula de las instituciones; cambios en la cantidad de créditos matriculados por estudiante; incentivos para aumentar o reducir la carga académica; persistencia, avance académico o tiempo hasta la graduación cuando exista evidencia; efectos financieros o redistributivos entre estudiantes, programas o instituciones. 3. Prioriza estudios que permitan establecer una relación entre estructura de precios de matrícula → comportamiento de los estudiantes → resultados financieros institucionales. 4. Para cada estudio relevante, presenta: referencia bibliográfica completa; año de publicación; país o sistema educativo analizado; población o institución estudiada; metodología utilizada; principal resultado relacionado con matrícula por crédito; conclusión directamente respaldada por el estudio; DOI o enlace al documento cuando esté disponible. 5. No mezcles evidencia sobre matrícula por crédito con evidencia sobre otros mecanismos de precios. Si un estudio analiza únicamente tarifa plana, úsalo solo como evidencia comparativa y señala explícitamente esa diferencia. 6. No inventes referencias, autores, resultados ni conclusiones. Si una afirmación no está respaldada directamente por el artículo, indícalo. Prioriza estudios cuyo texto completo o resumen permita verificar la afirmación. 7. Finalmente, identifica entre 8 y 12 estudios particularmente relevantes para construir el estado del arte de un proyecto cuyo objetivo es simular cuánto habría ganado o perdido una universidad si hubiera aplicado un esquema de cobro estrictamente por créditos en distintos periodos y facultades. La revisión debe servir como fundamento académico para posteriormente construir una simulación contrafactual de ingresos, no para calcular todavía el resultado de una universidad específica.</t>
  </si>
  <si>
    <t>Consensus</t>
  </si>
  <si>
    <t>2026-09-18</t>
  </si>
  <si>
    <t>Realiza una revisión de literatura científica sobre la siguiente pregunta de investigación: ¿Qué efectos tiene el cobro de matrícula universitaria estrictamente por crédito sobre los ingresos financieros de las instituciones de educación superior y sobre la cantidad de créditos que los estudiantes deciden cursar, en comparación con los esquemas de matrícula de tarifa plana o “plateau tuition”? Busca principalmente artículos científicos revisados por pares, estudios empíricos y documentos académicos publicados en revistas de educación superior, economía de la educación, finanzas universitarias o políticas públicas. Prioriza investigaciones que analicen universidades o sistemas de educación superior y que presenten evidencia cuantitativa. En la búsqueda: 1. Diferencia claramente entre: Strict per-credit tuition: el estudiante paga proporcionalmente por cada crédito cursado. Flat-rate / plateau tuition: el estudiante paga una tarifa fija dentro de un rango de créditos. 2. Identifica evidencia sobre los siguientes resultados: ingresos o revenue por matrícula de las instituciones; cambios en la cantidad de créditos matriculados por estudiante; incentivos para aumentar o reducir la carga académica; persistencia, avance académico o tiempo hasta la graduación cuando exista evidencia; efectos financieros o redistributivos entre estudiantes, programas o instituciones. 3. Prioriza estudios que permitan establecer una relación entre estructura de precios de matrícula → comportamiento de los estudiantes → resultados financieros institucionales. 4. Para cada estudio relevante, presenta: referencia bibliográfica completa; año de publicación; país o sistema educativo analizado; población o institución estudiada; metodología utilizada; principal resultado relacionado con matrícula por crédito; conclusión directamente respaldada por el estudio; DOI o enlace al documento cuando esté disponible. 5. No mezcles evidencia sobre matrícula por crédito con evidencia sobre otros mecanismos de precios. Si un estudio analiza únicamente tarifa plana, úsalo solo como evidencia comparativa y señala explícitamente esa diferencia. 6. No inventes referencias, autores, resultados ni conclusiones. Si una afirmación no está respaldada directamente por el artículo, indícalo. Prioriza estudios cuyo texto completo o resumen permita verificar la afirmación. 7. Finalmente, identifica entre 8 y 12 estudios particularmente relevantes para construir el estado del arte de un proyecto cuyo objetivo es simular cuánto habría ganado o perdido una universidad si hubiera aplicado un esquema de cobro estrictamente por créditos en distintos periodos y facultades. La revisión debe servir como fundamento académico para posteriormente construir una simulación contrafactual de ingresos, no para calcular todavía el resultado de una universidad específica. Responde ÚNICAMENTE con base en los documentos que te he adjuntado. Para cada afirmación, cita el documento y la página exacta de donde sale. Si la pregunta de investigación no puede responderse con la información contenida en estos documentos, dilo explícitamente en vez de inventar o usar conocimiento externo.</t>
  </si>
  <si>
    <t>Laura</t>
  </si>
  <si>
    <t>Actúa como un docente investigador y consultor senior en economía de la educación superior y finanzas universitarias.
Necesito construir el marco teórico y la revisión de literatura para un modelo de simulación contrafactual de ingresos institucionales. La pregunta central es: ¿Qué efectos tiene el cobro de matrícula estrictamente por crédito (strict per-credit tuition) frente a los esquemas de tarifa plana o por bloques (flat-rate / plateau tuition) sobre los ingresos financieros de las instituciones de educación superior y sobre la cantidad de créditos que los estudiantes deciden cursar?
Sigue estrictamente estas reglas:
1. Diferencia explícitamente entre "Strict per-credit tuition" (pago proporcional por cada crédito) y "Flat-rate / plateau tuition" (tarifa fija dentro de un rango de créditos).
2. Genera una lista de 10 estudios o artículos teóricos/empíricos representativos sobre esta relación (estructura de precios -&gt; comportamiento del estudiante en carga crediticia -&gt; ingresos universitarios).
3. Presenta los resultados únicamente en una tabla Markdown con la siguiente estructura de columnas:
| Referencia (autores, año, título) | Revista / fuente | DOI o URL | Afirmación que la herramienta le atribuye | ¿Trata cobro por crédito? (preliminar) | Alerta preliminar (tabla vs. abstract del CSV) |
|---|---|---|---|---|---|
Instrucciones para el llenado de la tabla:
- Referencia: Autores, año y título completo del artículo o reporte.
- Revista / fuente: Nombre de la revista académica (ej. Journal of Higher Education, Economics of Education Review), país o institución.
- DOI o URL: Identificador DOI o enlace URL del estudio.
- Afirmación que la herramienta le atribuye: Síntesis cuantitativa o cualitativa concreta de la conclusión del estudio sobre el impacto en ingresos universitarios, carga de créditos o persistencia estudiantil.
- ¿Trata cobro por crédito? (preliminar): Escribe "Sí" o "No".
- Alerta preliminar: Comentario evaluativo sobre la probabilidad de que la referencia y la cifra existan en la literatura real o si es una estimación generada por el modelo.</t>
  </si>
  <si>
    <t>Realiza una búsqueda de literatura científica revisada por pares en economía de la educación, finanzas universitarias y políticas públicas de educación superior.
Pregunta de investigación: ¿Qué efectos tiene el cobro de matrícula estrictamente por crédito (strict per-credit tuition) en comparación con los esquemas de tarifa plana o bloques (flat-rate / plateau tuition) sobre (a) los ingresos financieros (revenue) de las universidades y (b) la cantidad de créditos matriculados por estudiante?
REQUISITOS OBLIGATORIOS Y ESTRICTOS:
1. No inventes autores, títulos, DOI ni hallazgos. Si no estás seguro de un dato, indícalo explícitamente.
2. Diferencia claramente entre el esquema estrictamente por crédito (Strict per-credit) y la tarifa plana/bloque (Flat-rate / plateau tuition).
3. Selecciona entre 8 y 10 estudios empíricos o de revisión científica que analicen la relación entre la estructura de precios de matrícula, el comportamiento de carga académica del estudiante y los ingresos de las IES.
4. Presenta los resultados EXCLUSIVAMENTE en la siguiente tabla Markdown:
| Referencia (autores, año, título) | Revista / fuente | DOI o URL | Afirmación que la herramienta le atribuye | ¿Trata cobro por crédito? (preliminar) | Alerta preliminar (tabla vs. abstract del CSV) |
|---|---|---|---|---|---|
Criterios por columna:
- Referencia (autores, año, título): Nombres reales de autores, año de publicación y título exacto hallado.
- Revista / fuente: Revista indexada (peer-reviewed) o institución emisora y país del sistema educativo analizado.
- DOI o URL: Enlace URL directo o código DOI activo y verificable.
- Afirmación que la herramienta le atribuye: Hallazgo empírico o cuantitativo exacto extraído de la fuente (ej. % de variación en créditos matriculados, impacto en el revenue, tiempo a la graduación o elasticidad precio-demanda por crédito).
- ¿Trata cobro por crédito? (preliminar): "Sí" o "No" según el enfoque central del estudio.
- Alerta preliminar (tabla vs. abstract del CSV): Reporta si la afirmación resumida coincide perfectamente con el abstract del artículo o si el estudio analiza únicamente tarifa plana y sirve solo como evidencia comparativa.</t>
  </si>
  <si>
    <t>Integrante 3</t>
  </si>
  <si>
    <t>Acton, R. K. (2021). Effects of flat-rate tuition on student behavior</t>
  </si>
  <si>
    <t>Stange, K. (2015). Differential Pricing in Undergraduate Education: Effects on Degree Production by Field</t>
  </si>
  <si>
    <t>Hemelt, S. W., &amp; Marcotte, D. E. (2011). The Impact of Tuition Increases on Enrollment at Public Colleges and Universities</t>
  </si>
  <si>
    <t>Kramer, D. A., &amp; Kelchen, R. (2018). The impact of banded tuition policies on student credit loads and institutional revenues</t>
  </si>
  <si>
    <t>Cheslock, J. J. (2005). How pricing strategies affect enrollment and revenues in higher education</t>
  </si>
  <si>
    <t>Economics of Education Review</t>
  </si>
  <si>
    <t>The Journal of Higher Education (estimado)</t>
  </si>
  <si>
    <t>Research in Higher Education (estimado)</t>
  </si>
  <si>
    <t>10.1016/j.econedurev.2021.102117</t>
  </si>
  <si>
    <t>10.1002/pam.21798</t>
  </si>
  <si>
    <t>10.3102/0162373711415261</t>
  </si>
  <si>
    <t>no disponible</t>
  </si>
  <si>
    <t>Encuentra que cambiar del cobro estricto por crédito a un esquema de tarifa plana aumenta los créditos matriculados en un 4-5%, reduciendo el ingreso marginal de la institución. Resulta un insumo ideal para fundamentar metodológicamente simulaciones contrafactuales que utilicen archivos históricos de matrícula.</t>
  </si>
  <si>
    <t>Demuestra que la estructura de precios afecta directamente la cantidad de créditos tomados, alterando los ingresos institucionales de manera asimétrica. Aporta un marco sólido si se busca evaluar qué tanto hubiera ganado o perdido la universidad comparando estos efectos a nivel de distintas facultades.</t>
  </si>
  <si>
    <t>Evalúa la elasticidad precio-demanda en las universidades, concluyendo que el recaudo no crece de forma directamente proporcional al costo, ya que el estudiante ajusta inmediatamente su carga crediticia para minimizar el impacto financiero.</t>
  </si>
  <si>
    <t>Plantea que los esquemas de tarifa por bloques o bandas elevan los créditos matriculados, pero limitan severamente la capacidad de la universidad de capturar ingresos adicionales por esos créditos extra en comparación con el modelo per-credit.</t>
  </si>
  <si>
    <t>Argumenta que mantener un cobro estricto por crédito produce una alta volatilidad en los ingresos institucionales periodo a periodo, volviendo el recaudo dependiente de las decisiones microeconómicas del estudiante sobre su carga académica.</t>
  </si>
  <si>
    <t>si</t>
  </si>
  <si>
    <t>Sí (compara tarifa plana uniforme vs. por crédito/campo)</t>
  </si>
  <si>
    <t>No (evalúa costos generales frente a carga; es evidencia parcial)</t>
  </si>
  <si>
    <t>El abstract da un aumento en los créditos intentados bajo tarifa plana; no reporta la reducción del ingreso marginal de la institución. Indica impactos en el comportamiento del estudiante, pero la tabla asume el impacto en recaudo. No mide ingresos institucionales</t>
  </si>
  <si>
    <t>El abstract respalda el efecto en la elección de carrera y créditos por campo debido al precio diferencial. «Alterando los ingresos institucionales de manera asimétrica» no aparece en el abstract. Otro mecanismo (cobro diferencial por programa, no tarifa plana vs crédito estándar).</t>
  </si>
  <si>
    <t>El abstract reporta impactos negativos en la matrícula general (headcount) ante aumentos de precio. Dice que puede haber cambios en el comportamiento, pero no reporta ese resultado de carga crediticia: verificar «ajusta inmediatamente su carga crediticia» en el texto completo.</t>
  </si>
  <si>
    <t>El abstract reporta aumentos en los créditos matriculados debido a políticas de bandas; no reporta métricas exactas de recaudo. «Limitan severamente la capacidad» no aparece en el abstract. No mide ingresos institucionales directamente.</t>
  </si>
  <si>
    <t>El abstract discute el impacto general de las estrategias de precios. «Alta volatilidad en los ingresos institucionales» no aparece en el abstract (se enfoca en tendencias generales). La tabla asume la dependencia microeconómica que el texto omite.</t>
  </si>
  <si>
    <t>Actúa como investigador especializado en economía de la educación superior y financiamiento universitario. Estoy construyendo el estado del arte para un proyecto que simula, de forma contrafactual, qué habría pasado con los ingresos de una universidad si en periodos pasados hubiera cobrado la matrícula estrictamente por crédito cursado, en vez de su esquema actual de tarifa plana/media tarifa.
Pregunta de investigación: comparando el cobro por crédito estricto (el estudiante paga proporcionalmente por cada crédito matriculado) frente a esquemas de tarifa plana o por bloques (el estudiante paga un valor fijo dentro de un rango de créditos), ¿qué evidencia empírica existe sobre dos resultados separados: (1) el ingreso o recaudo de la institución, y (2) la cantidad de créditos que el estudiante decide matricular?
Busca artículos revisados por pares, estudios empíricos o reportes técnicos de investigación institucional en revistas de educación superior, economía de la educación o finanzas universitarias. Antes de reportar cada estudio, verifica que sí compare o mida al menos uno de esos dos esquemas de cobro; si un estudio solo trata tarifa plana sin comparar con cobro por crédito, indícalo explícitamente como evidencia parcial.
Para cada estudio entrega: referencia completa (autores, año, título), revista o fuente, país/sistema educativo, metodología, el hallazgo textual exacto relacionado con ingresos o con carga crediticia, y DOI o URL verificable. No inventes autores, cifras ni DOI: si no puedes confirmar un dato, dilo en vez de completarlo.
Entrega entre 8 y 12 estudios, priorizando los que permitan trazar la cadena estructura de cobro → comportamiento del estudiante en créditos → efecto en el ingreso institucional, ya que servirán como fundamento teórico de una simulación posterior (no calcules aún ningún resultado numérico para una universidad específica).
Preséntame el resultado exclusivamente en una tabla Markdown, con exactamente 5 estudios (los 5 más relevantes que encontraste, en orden de relevancia) y esta estructura de columnas, sin texto adicional fuera de la tabla:
Referencia (autores, año, título)
Revista / fuente
DOI o URL
Afirmación que le atribuyes al estudio
¿Trata cobro por crédito? (Sí/No)
Nivel de certeza sobre esa referencia (¿la verificaste o es tu mejor estimación?)
Instrucciones por columna:
Referencia: autores, año y título completo, tal como aparecen en la fuente original.
Revista / fuente: nombre exacto de la revista, editorial o repositorio.
DOI o URL: identificador o enlace verificable; si no lo tienes, escribe "no disponible" en vez de inventarlo.
Afirmación: el hallazgo concreto sobre ingresos institucionales o carga crediticia, no una descripción general del tema.
¿Trata cobro por crédito?: responde solo si el estudio compara o mide directamente per-credit vs. flat-rate; si trata otro mecanismo, dilo en esa misma celda.
Nivel de certeza: indica si estás seguro de que el DOI/URL y los datos son correctos, o si podrían estar aproximados.</t>
  </si>
  <si>
    <t>Steven W. Hemelt, Kevin M. Stange, 2014, Marginal Pricing and Student Investment in Higher Education</t>
  </si>
  <si>
    <t>C. Keenan, Gurprit S. Chhatwal, Jinchang Wang, 2015, A Study of the Effects and Policy Implications of Flat Rate Tuition</t>
  </si>
  <si>
    <t>Nicholas Baine, Karl F. Brakora, 2024, Tuition Equity: A Study of the Disparate Impacts of Block Tuition</t>
  </si>
  <si>
    <t>C. W. DeMoranville, P. O'Donnell, 2001, Price Elasticity of Per-Credit-Hour Tuition Charges and the Effects on Four-Year Graduation Rates</t>
  </si>
  <si>
    <t>George A. Chressanthis, 1986, The impacts of tuition rate changes on college undergraduate headcounts and credit hours over time -- a case study</t>
  </si>
  <si>
    <t>International Journal of Research in Education Methodology</t>
  </si>
  <si>
    <t>Journal of Marketing for Higher Education</t>
  </si>
  <si>
    <t>10.1002/pam.21891</t>
  </si>
  <si>
    <t>10.24297/ijrem.v6i2.3879</t>
  </si>
  <si>
    <t>10.18260/1-2--48180</t>
  </si>
  <si>
    <t>10.1300/j050v11n04_03</t>
  </si>
  <si>
    <t>10.1016/0272-7757(86)90013-0</t>
  </si>
  <si>
    <t xml:space="preserve">	En universidades públicas de Michigan, reducir a cero el precio marginal de créditos adicionales sobre 12 indujo a una fracción modesta de estudiantes a intentar hasta una materia adicional, pero también elevó retiros y redujo el desempeño; los efectos sobre créditos aprobados y avance “a tiempo” fueron pequeños o imprecisos, por lo que el estudio sirve sobre todo para la rama estructura de cobro → créditos intentados, no para inferir directamente recaudo institucional</t>
  </si>
  <si>
    <t xml:space="preserve">	En un college público de cuatro años, la tarifa plana se compara explícitamente con cobro por crédito y se asocia con mayor carga matriculada: los créditos “overload” aumentaron casi 130% en cinco años y la proporción que toma 17+ créditos pasó de ~18% a 35%; además, la caída en retiros contradice la objeción de que la tarifa plana solo infla matrícula tentativa. No reporta un efecto directo estimado sobre recaudo institucional</t>
  </si>
  <si>
    <t>El estudio no estima causalmente cambio de comportamiento, pero sí operacionaliza la comparación bloque vs. por crédito aplicando ambas tarifas a historiales reales de 32,454 graduados; documenta que un bloque 12–15 equivalente al precio de 12 créditos genera un descuento de hasta 20% y crea incentivos a matricularse cerca de 15 créditos, con menor beneficio efectivo para transferidos, estudiantes Pell y estudiantes de color. Es útil para simular ingresos contrafactuales y distribución del subsidio implícito, más que para medir recaudo observado</t>
  </si>
  <si>
    <t xml:space="preserve">	El estudio examina un cambio hacia una escala deslizante por número de créditos y concluye que ese esquema no aumentó la graduación en cuatro años. Aporta evidencia parcial para tu marco porque sí trata cobro por crédito, pero en los extractos disponibles no confirma directamente efectos sobre créditos matriculados ni sobre recaudo institucional</t>
  </si>
  <si>
    <t>El estudio estima cómo cambios en tasas de matrícula afectan headcount y credit hours, y encuentra que la conducta estudiantil sigue la ley de demanda y varía por nivel académico. Es relevante para sensibilidad de créditos frente al precio, pero no permite confirmar, con la información disponible, una comparación directa entre cobro por crédito estricto y tarifa plana/bloques; por eso su valor aquí es contextual y parcial</t>
  </si>
  <si>
    <t>Si</t>
  </si>
  <si>
    <t>No; trata cambios en tasas de matrícula y horas-crédito, no una comparación directa verificada per-credit vs. flat-rate</t>
  </si>
  <si>
    <t xml:space="preserve">	Coincide con el abstract real del artículo.</t>
  </si>
  <si>
    <t xml:space="preserve">	Coincide con el abstract y con extractos de texto completo disponibles.</t>
  </si>
  <si>
    <t xml:space="preserve">	La afirmación mezcla resultados confirmados en abstract/extractos con una inferencia analítica prudente sobre su utilidad para simulación; no verifica recaudo observado.</t>
  </si>
  <si>
    <t xml:space="preserve">	Coincide con el abstract real del artículo, pero la conexión con carga crediticia o recaudo es una limitación explícita de la evidencia disponible aquí.</t>
  </si>
  <si>
    <t>Coincide con el abstract real del artículo; la clasificación como evidencia parcial refleja la falta de verificación de un contraste directo entre esquemas.</t>
  </si>
  <si>
    <t>Actúa como investigador especializado en economía de la educación superior y financiamiento universitario. Estoy construyendo el estado del arte para un proyecto que simula, de forma contrafactual, qué habría pasado con los ingresos de una universidad si en periodos pasados hubiera cobrado la matrícula estrictamente por crédito cursado, en vez de su esquema actual de tarifa plana/media tarifa.
Pregunta de investigación: comparando el cobro por crédito estricto (el estudiante paga proporcionalmente por cada crédito matriculado) frente a esquemas de tarifa plana o por bloques (el estudiante paga un valor fijo dentro de un rango de créditos), ¿qué evidencia empírica existe sobre dos resultados separados: (1) el ingreso o recaudo de la institución, y (2) la cantidad de créditos que el estudiante decide matricular?
Busca artículos revisados por pares, estudios empíricos o reportes técnicos de investigación institucional en revistas de educación superior, economía de la educación o finanzas universitarias. Antes de reportar cada estudio, verifica que sí compare o mida al menos uno de esos dos esquemas de cobro; si un estudio solo trata tarifa plana sin comparar con cobro por crédito, indícalo explícitamente como evidencia parcial.
No inventes autores, cifras ni DOI: si no puedes confirmar un dato, dilo en vez de completarlo.
Preséntame el resultado exclusivamente en una tabla Markdown, con exactamente 5 estudios (los 5 más relevantes que encuentres, en orden de relevancia), priorizando los que permitan trazar la cadena estructura de cobro → comportamiento del estudiante en créditos → efecto en el ingreso institucional. No calcules aún ningún resultado numérico para una universidad específica; esto es solo el fundamento teórico. Usa exactamente esta estructura de columnas, sin texto fuera de la tabla:
Referencia (autores, año, título)	Revista / fuente	DOI o URL	Afirmación que le atribuyes al estudio	¿Trata cobro por crédito? (Sí/No)	Alerta preliminar (¿la afirmación coincide con el abstract real del artículo, o es tu estimación sin verificar?)
Instrucciones por columna:
Referencia: autores, año y título completo, tal como aparecen en la fuente original.
Revista / fuente: nombre exacto de la revista, editorial o repositorio.
DOI o URL: identificador o enlace verificable; si no lo tienes, escribe "no disponible" en vez de inventarlo.
Afirmación: el hallazgo concreto sobre ingresos institucionales o carga crediticia, no una descripción general del tema.
¿Trata cobro por crédito?: responde solo si el estudio compara o mide directamente per-credit vs. flat-rate; si trata otro mecanismo, dilo en esa misma celda.
Alerta preliminar: di explícitamente si confirmaste la afirmación contra el abstract real del artículo, o si es tu mejor estimación sin haberlo verificado.  Responde únicamente con base en los documentos que te adjunto. Para cada afirmación cita el documento y la página o sección exacta. Si la pregunta no puede responderse con lo que contienen estos documentos, dilo explícitamente en vez de usar conocimiento externo.</t>
  </si>
  <si>
    <t>Busca artículos académicos revisados por pares, estudios empíricos o reportes técnicos publicados en revistas de educación superior, economía de la educación o finanzas universitarias. Antes de incluir cada referencia, confirma que el documento analice o compare explícitamente al menos uno de los dos esquemas de matrícula (cobro estrictamente por crédito vs. tarifa plana/plateau tuition). Si el texto solo aborda tarifa plana sin contrastarlo con cobro por crédito, señálalo como evidencia parcial. No inventes autores, cifras ni identificadores: si un dato no puede verificarse, escribe “no disponible” en lugar de completarlo. El resultado debe presentarse únicamente en una tabla Markdown con exactamente 5 estudios (los cinco más relevantes, ordenados por pertinencia). Prioriza aquellos que permitan seguir la cadena: estructura de precios → decisiones de carga crediticia → impacto en ingresos institucionales. No realices cálculos para universidades específicas; este insumo es solo el fundamento teórico. Usa exactamente estas columnas, sin texto adicional fuera de la tabla: Referencia (autores, año, título); Revista / fuente; DOI o URL; Afirmación atribuida al estudio; ¿Trata cobro por crédito? (Sí/No); Alerta preliminar (¿la afirmación coincide con el abstract real o es una estimación sin verificar?). Instrucciones por columna: Referencia: cita completa con autores, año y título. Revista / fuente: nombre exacto de la publicación o repositorio. DOI o URL: identificador verificable; si no existe, escribe “no disponible”. Afirmación: hallazgo concreto sobre ingresos institucionales o carga crediticia. ¿Trata cobro por crédito?: responde “Sí” solo si el estudio compara directamente per‑credit vs. flat‑rate; si analiza otro mecanismo, acláralo. Alerta preliminar: indica si la afirmación fue confirmada en el abstract real o si es tu mejor estimación sin verificación.</t>
  </si>
  <si>
    <t>No</t>
  </si>
  <si>
    <t xml:space="preserve">Integrante 1 </t>
  </si>
  <si>
    <t>Integrante 2</t>
  </si>
  <si>
    <t>“Tuition price structures significantly affect enrollment decisions” (abstract)</t>
  </si>
  <si>
    <t>DOI 10.1016/j.econedurev.2007.09.004, verificado contra abstract.</t>
  </si>
  <si>
    <t>“Flat‑rate tuition affects student behavior” (abstract)</t>
  </si>
  <si>
    <r>
      <t xml:space="preserve">DOI 10.1016/j.econedurev.2021.102117, artículo en </t>
    </r>
    <r>
      <rPr>
        <i/>
        <sz val="11"/>
        <color theme="1"/>
        <rFont val="Calibri"/>
        <family val="2"/>
        <charset val="1"/>
      </rPr>
      <t>Economics of Education Review</t>
    </r>
    <r>
      <rPr>
        <sz val="11"/>
        <color theme="1"/>
        <rFont val="Calibri"/>
        <family val="2"/>
        <charset val="1"/>
      </rPr>
      <t>.</t>
    </r>
  </si>
  <si>
    <t>“Differential pricing influences degree production by field” (abstract)</t>
  </si>
  <si>
    <r>
      <t xml:space="preserve">DOI 10.1002/pam.21798, artículo en </t>
    </r>
    <r>
      <rPr>
        <i/>
        <sz val="11"/>
        <color theme="1"/>
        <rFont val="Calibri"/>
        <family val="2"/>
        <charset val="1"/>
      </rPr>
      <t>Journal of Policy Analysis and Management</t>
    </r>
    <r>
      <rPr>
        <sz val="11"/>
        <color theme="1"/>
        <rFont val="Calibri"/>
        <family val="2"/>
        <charset val="1"/>
      </rPr>
      <t>.</t>
    </r>
  </si>
  <si>
    <t>“Tuition increases reduce enrollment at public colleges” (abstract)</t>
  </si>
  <si>
    <r>
      <t xml:space="preserve">DOI 10.3102/0162373711415261, artículo en </t>
    </r>
    <r>
      <rPr>
        <i/>
        <sz val="11"/>
        <color theme="1"/>
        <rFont val="Calibri"/>
        <family val="2"/>
        <charset val="1"/>
      </rPr>
      <t>Educational Evaluation and Policy Analysis</t>
    </r>
    <r>
      <rPr>
        <sz val="11"/>
        <color theme="1"/>
        <rFont val="Calibri"/>
        <family val="2"/>
        <charset val="1"/>
      </rPr>
      <t>.</t>
    </r>
  </si>
  <si>
    <t>“Marginal pricing and student investment in higher education” (abstract)</t>
  </si>
  <si>
    <r>
      <t xml:space="preserve">DOI 10.1002/pam.21891, artículo en </t>
    </r>
    <r>
      <rPr>
        <i/>
        <sz val="11"/>
        <color theme="1"/>
        <rFont val="Calibri"/>
        <family val="2"/>
        <charset val="1"/>
      </rPr>
      <t>JPAM</t>
    </r>
    <r>
      <rPr>
        <sz val="11"/>
        <color theme="1"/>
        <rFont val="Calibri"/>
        <family val="2"/>
        <charset val="1"/>
      </rPr>
      <t>.</t>
    </r>
  </si>
  <si>
    <t>“Tuition increases reduce enrollment” (abstract)</t>
  </si>
  <si>
    <t>DOI 10.3102/0162373711415261, mismo artículo de Hemelt &amp; Marcotte.</t>
  </si>
  <si>
    <t>“Tuition reset policies affect finances and enrollment” (abstract)</t>
  </si>
  <si>
    <r>
      <t xml:space="preserve">DOI 10.1007/s11162-022-09723-6, artículo en </t>
    </r>
    <r>
      <rPr>
        <i/>
        <sz val="11"/>
        <color theme="1"/>
        <rFont val="Calibri"/>
        <family val="2"/>
        <charset val="1"/>
      </rPr>
      <t>Research in Higher Education</t>
    </r>
    <r>
      <rPr>
        <sz val="11"/>
        <color theme="1"/>
        <rFont val="Calibri"/>
        <family val="2"/>
        <charset val="1"/>
      </rPr>
      <t>.</t>
    </r>
  </si>
  <si>
    <t>“Marginal pricing and student investment” (abstract)</t>
  </si>
  <si>
    <t>DOI 10.1002/pam.21891, JPAM.</t>
  </si>
  <si>
    <t>DOI 10.3102/0162373711415261, EEPA.</t>
  </si>
  <si>
    <t>DOI 10.18260/1-2--48180, ASEE.</t>
  </si>
  <si>
    <t>“Per‑credit‑hour tuition charges did not increase graduation rates” (abstract)</t>
  </si>
  <si>
    <r>
      <t xml:space="preserve">DOI 10.1300/j050v11n04_03, </t>
    </r>
    <r>
      <rPr>
        <i/>
        <sz val="11"/>
        <color theme="1"/>
        <rFont val="Calibri"/>
        <family val="2"/>
        <charset val="1"/>
      </rPr>
      <t>Journal of Marketing for Higher Education</t>
    </r>
    <r>
      <rPr>
        <sz val="11"/>
        <color theme="1"/>
        <rFont val="Calibri"/>
        <family val="2"/>
        <charset val="1"/>
      </rPr>
      <t>.</t>
    </r>
  </si>
  <si>
    <t>“Tuition rate changes impact headcounts and credit hours” (p. 205, abstract)</t>
  </si>
  <si>
    <r>
      <t xml:space="preserve">DOI 10.1016/0272-7757(86)90013-0, </t>
    </r>
    <r>
      <rPr>
        <i/>
        <sz val="11"/>
        <color theme="1"/>
        <rFont val="Calibri"/>
        <family val="2"/>
        <charset val="1"/>
      </rPr>
      <t>Economics of Education Review</t>
    </r>
    <r>
      <rPr>
        <sz val="11"/>
        <color theme="1"/>
        <rFont val="Calibri"/>
        <family val="2"/>
        <charset val="1"/>
      </rPr>
      <t>.</t>
    </r>
  </si>
  <si>
    <t>“Do liberal arts colleges maximize profit?” (abstract)</t>
  </si>
  <si>
    <r>
      <t xml:space="preserve">DOI 10.1002/soej.12521, </t>
    </r>
    <r>
      <rPr>
        <i/>
        <sz val="11"/>
        <color theme="1"/>
        <rFont val="Calibri"/>
        <family val="2"/>
        <charset val="1"/>
      </rPr>
      <t>Southern Economic Journal</t>
    </r>
    <r>
      <rPr>
        <sz val="11"/>
        <color theme="1"/>
        <rFont val="Calibri"/>
        <family val="2"/>
        <charset val="1"/>
      </rPr>
      <t>.</t>
    </r>
  </si>
  <si>
    <t>“Tuition fees affected enrollment after German quasi‑experiment” (abstract)</t>
  </si>
  <si>
    <r>
      <t xml:space="preserve">DOI 10.1186/s12651-023-00354-7, </t>
    </r>
    <r>
      <rPr>
        <i/>
        <sz val="11"/>
        <color theme="1"/>
        <rFont val="Calibri"/>
        <family val="2"/>
        <charset val="1"/>
      </rPr>
      <t>Journal for Labour Market Research</t>
    </r>
    <r>
      <rPr>
        <sz val="11"/>
        <color theme="1"/>
        <rFont val="Calibri"/>
        <family val="2"/>
        <charset val="1"/>
      </rPr>
      <t>.</t>
    </r>
  </si>
  <si>
    <t>“Tuition fees affect graduation” (abstract)</t>
  </si>
  <si>
    <r>
      <t xml:space="preserve">DOI 10.1162/edfp.a.460, </t>
    </r>
    <r>
      <rPr>
        <i/>
        <sz val="11"/>
        <color theme="1"/>
        <rFont val="Calibri"/>
        <family val="2"/>
        <charset val="1"/>
      </rPr>
      <t>Education Finance and Policy</t>
    </r>
    <r>
      <rPr>
        <sz val="11"/>
        <color theme="1"/>
        <rFont val="Calibri"/>
        <family val="2"/>
        <charset val="1"/>
      </rPr>
      <t>.</t>
    </r>
  </si>
  <si>
    <t>Abstract, p. 1 (20% de descuento); sección Results (7,1% transferidos de ingeniería vs. 14% no transferidos). PDF completo: peer.asee.org/48180.pdf</t>
  </si>
  <si>
    <t>Abstract, p. 1: comparación de créditos obtenidos al graduarse por elegibilidad Pell, género, raza y estatus de transferencia.</t>
  </si>
  <si>
    <t>Journal of Higher Education, 81(4), pp. 515–543 (versión publicada del manuscrito de 2009 de Curs &amp; Singell)</t>
  </si>
  <si>
    <t>confirmado — C-Q1-01 y B-Q1-04 son la misma investigación en dos versiones (manuscrito vs. publicación).</t>
  </si>
  <si>
    <r>
      <t xml:space="preserve">DOI 10.18260/1-2--44522, </t>
    </r>
    <r>
      <rPr>
        <i/>
        <sz val="11"/>
        <color theme="1"/>
        <rFont val="Calibri"/>
        <family val="2"/>
        <charset val="1"/>
      </rPr>
      <t>The Journal of Higher Education</t>
    </r>
    <r>
      <rPr>
        <sz val="11"/>
        <color theme="1"/>
        <rFont val="Calibri"/>
        <family val="2"/>
        <charset val="1"/>
      </rPr>
      <t>.</t>
    </r>
  </si>
  <si>
    <t>Journal of Student Affairs Research and Practice, 2006. El estudio real trata sobre cómo el gasto institucional (apoyo académico vs. servicios estudiantiles) afecta la persistencia y graduación — NO sobre estructuras de matrícula ni progresión crediticia. La afirmación de Gemini sobre "modelo tarifario que desacelera la progresión" no está en el estudio.</t>
  </si>
  <si>
    <t>Se confirma "Existe pero no dice eso"</t>
  </si>
  <si>
    <t>Journal of Higher Education, 81(4), pp. 515–543, abstract: confirma que HH/HA reduce el ingreso por matrícula.</t>
  </si>
  <si>
    <t>Si es un tema de relevancia para la pregunta, no de si la afirmación es correcta. Por la definición de las categorías, si el texto sí respalda la afirmación, debería ser "Utilizable", aunque también anoten en Notas que es de un mecanismo distinto al que estudian.</t>
  </si>
  <si>
    <t>International Journal of Research in Education Methodology, 6(2), pp. 837-849 (2014, no 2015). No pude acceder al texto completo para verificar la cifra exacta del "130% de aumento en overload" — requiere que alguien del equipo abra el PDF y confirme esa cifra específica antes de darla por buena.</t>
  </si>
  <si>
    <t>Notebook 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</si>
</sst>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00"/>
  </numFmts>
  <fonts count="17" x14ac:knownFonts="1">
    <font>
      <sz val="11"/>
      <color theme="1"/>
      <name val="Calibri"/>
      <family val="2"/>
      <charset val="1"/>
    </font>
    <font>
      <b/>
      <sz val="14"/>
      <color rgb="FF1F2A44"/>
      <name val="Arial"/>
      <family val="2"/>
      <charset val="1"/>
    </font>
    <font>
      <i/>
      <sz val="9"/>
      <color rgb="FF595959"/>
      <name val="Arial"/>
      <family val="2"/>
      <charset val="1"/>
    </font>
    <font>
      <b/>
      <sz val="10"/>
      <name val="Arial"/>
      <family val="2"/>
      <charset val="1"/>
    </font>
    <font>
      <sz val="10"/>
      <name val="Arial"/>
      <family val="2"/>
      <charset val="1"/>
    </font>
    <font>
      <sz val="11"/>
      <color theme="1"/>
      <name val="Times New Roman"/>
      <family val="1"/>
      <charset val="1"/>
    </font>
    <font>
      <b/>
      <sz val="14"/>
      <color rgb="FF1F2A44"/>
      <name val="Times New Roman"/>
      <family val="1"/>
      <charset val="1"/>
    </font>
    <font>
      <i/>
      <sz val="9"/>
      <color rgb="FF595959"/>
      <name val="Times New Roman"/>
      <family val="1"/>
      <charset val="1"/>
    </font>
    <font>
      <b/>
      <sz val="10"/>
      <color rgb="FFFFFFFF"/>
      <name val="Times New Roman"/>
      <family val="1"/>
      <charset val="1"/>
    </font>
    <font>
      <b/>
      <sz val="10"/>
      <name val="Times New Roman"/>
      <family val="1"/>
      <charset val="1"/>
    </font>
    <font>
      <sz val="10"/>
      <name val="Times New Roman"/>
      <family val="1"/>
      <charset val="1"/>
    </font>
    <font>
      <u/>
      <sz val="10"/>
      <color rgb="FF0563C1"/>
      <name val="Times New Roman"/>
      <family val="1"/>
      <charset val="1"/>
    </font>
    <font>
      <sz val="10"/>
      <color rgb="FF0000FF"/>
      <name val="Times New Roman"/>
      <family val="1"/>
      <charset val="1"/>
    </font>
    <font>
      <i/>
      <sz val="11"/>
      <color theme="1"/>
      <name val="Calibri"/>
      <family val="2"/>
      <charset val="1"/>
    </font>
    <font>
      <sz val="10"/>
      <color rgb="FF0000FF"/>
      <name val="Arial"/>
      <family val="2"/>
      <charset val="1"/>
    </font>
    <font>
      <b/>
      <sz val="10"/>
      <color rgb="FFFFFFFF"/>
      <name val="Arial"/>
      <family val="2"/>
      <charset val="1"/>
    </font>
    <font>
      <i/>
      <sz val="9"/>
      <name val="Times New Roman"/>
      <family val="1"/>
      <charset val="1"/>
    </font>
  </fonts>
  <fills count="10">
    <fill>
      <patternFill patternType="none"/>
    </fill>
    <fill>
      <patternFill patternType="gray125"/>
    </fill>
    <fill>
      <patternFill patternType="solid">
        <fgColor rgb="FFD9E1F2"/>
        <bgColor rgb="FFDDEBF7"/>
      </patternFill>
    </fill>
    <fill>
      <patternFill patternType="solid">
        <fgColor rgb="FF1F2A44"/>
        <bgColor rgb="FF003366"/>
      </patternFill>
    </fill>
    <fill>
      <patternFill patternType="solid">
        <fgColor rgb="FFFCE4D6"/>
        <bgColor rgb="FFEDEDED"/>
      </patternFill>
    </fill>
    <fill>
      <patternFill patternType="solid">
        <fgColor rgb="FFEDEDED"/>
        <bgColor rgb="FFE2EFDA"/>
      </patternFill>
    </fill>
    <fill>
      <patternFill patternType="solid">
        <fgColor rgb="FFFFFF00"/>
        <bgColor rgb="FFFFFF00"/>
      </patternFill>
    </fill>
    <fill>
      <patternFill patternType="solid">
        <fgColor rgb="FFE2EFDA"/>
        <bgColor rgb="FFEDEDED"/>
      </patternFill>
    </fill>
    <fill>
      <patternFill patternType="solid">
        <fgColor rgb="FFDDEBF7"/>
        <bgColor rgb="FFD9E1F2"/>
      </patternFill>
    </fill>
    <fill>
      <patternFill patternType="solid">
        <fgColor theme="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3" fillId="0" borderId="0" xfId="0" applyFont="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6" fillId="0" borderId="0" xfId="0" applyFont="1"/>
    <xf numFmtId="0" fontId="7" fillId="0" borderId="0" xfId="0" applyFont="1"/>
    <xf numFmtId="0" fontId="8" fillId="3" borderId="1" xfId="0" applyFont="1" applyFill="1" applyBorder="1" applyAlignment="1">
      <alignment horizontal="center" vertical="center" wrapText="1"/>
    </xf>
    <xf numFmtId="0" fontId="9" fillId="0" borderId="1" xfId="0" applyFont="1" applyBorder="1" applyAlignment="1">
      <alignment horizontal="center" vertical="top"/>
    </xf>
    <xf numFmtId="0" fontId="9" fillId="4" borderId="1" xfId="0" applyFont="1" applyFill="1" applyBorder="1" applyAlignment="1">
      <alignment horizontal="center" vertical="top"/>
    </xf>
    <xf numFmtId="0" fontId="10" fillId="5" borderId="1" xfId="0" applyFont="1" applyFill="1" applyBorder="1" applyAlignment="1">
      <alignment vertical="top" wrapText="1"/>
    </xf>
    <xf numFmtId="0" fontId="11" fillId="5" borderId="1" xfId="0" applyFont="1" applyFill="1" applyBorder="1" applyAlignment="1">
      <alignment vertical="top" wrapText="1"/>
    </xf>
    <xf numFmtId="0" fontId="12" fillId="6" borderId="1" xfId="0" applyFont="1" applyFill="1" applyBorder="1" applyAlignment="1">
      <alignment vertical="top" wrapText="1"/>
    </xf>
    <xf numFmtId="0" fontId="10" fillId="0" borderId="1" xfId="0" applyFont="1" applyBorder="1" applyAlignment="1">
      <alignment horizontal="center" vertical="top"/>
    </xf>
    <xf numFmtId="164" fontId="12" fillId="6" borderId="1" xfId="0" applyNumberFormat="1" applyFont="1" applyFill="1" applyBorder="1" applyAlignment="1">
      <alignment vertical="top" wrapText="1"/>
    </xf>
    <xf numFmtId="0" fontId="9" fillId="7" borderId="1" xfId="0" applyFont="1" applyFill="1" applyBorder="1" applyAlignment="1">
      <alignment horizontal="center" vertical="top"/>
    </xf>
    <xf numFmtId="0" fontId="9" fillId="8" borderId="1" xfId="0" applyFont="1" applyFill="1" applyBorder="1" applyAlignment="1">
      <alignment horizontal="center" vertical="top"/>
    </xf>
    <xf numFmtId="0" fontId="4" fillId="5" borderId="1" xfId="0" applyFont="1" applyFill="1" applyBorder="1" applyAlignment="1">
      <alignment vertical="top" wrapText="1"/>
    </xf>
    <xf numFmtId="165" fontId="14" fillId="6" borderId="1" xfId="0" applyNumberFormat="1" applyFont="1" applyFill="1" applyBorder="1"/>
    <xf numFmtId="166" fontId="4" fillId="0" borderId="0" xfId="0" applyNumberFormat="1" applyFont="1"/>
    <xf numFmtId="0" fontId="15" fillId="3" borderId="1" xfId="0" applyFont="1" applyFill="1" applyBorder="1" applyAlignment="1">
      <alignment horizontal="center" vertical="center" wrapText="1"/>
    </xf>
    <xf numFmtId="0" fontId="3" fillId="0" borderId="1" xfId="0" applyFont="1" applyBorder="1"/>
    <xf numFmtId="0" fontId="4" fillId="0" borderId="1" xfId="0" applyFont="1" applyBorder="1"/>
    <xf numFmtId="0" fontId="4" fillId="0" borderId="1" xfId="0" applyFont="1" applyBorder="1" applyAlignment="1">
      <alignment horizontal="center"/>
    </xf>
    <xf numFmtId="165" fontId="4" fillId="0" borderId="1" xfId="0" applyNumberFormat="1" applyFont="1" applyBorder="1" applyAlignment="1">
      <alignment horizontal="center"/>
    </xf>
    <xf numFmtId="0" fontId="2" fillId="0" borderId="0" xfId="0" applyFont="1" applyAlignment="1">
      <alignment vertical="top" wrapText="1"/>
    </xf>
    <xf numFmtId="166" fontId="4" fillId="0" borderId="1" xfId="0" applyNumberFormat="1" applyFont="1" applyBorder="1" applyAlignment="1">
      <alignment horizontal="center"/>
    </xf>
    <xf numFmtId="14" fontId="10" fillId="5" borderId="1" xfId="0" applyNumberFormat="1" applyFont="1" applyFill="1" applyBorder="1" applyAlignment="1">
      <alignment vertical="top" wrapText="1"/>
    </xf>
    <xf numFmtId="0" fontId="10" fillId="9" borderId="1" xfId="0" applyFont="1" applyFill="1" applyBorder="1" applyAlignment="1">
      <alignment vertical="top" wrapText="1"/>
    </xf>
    <xf numFmtId="164" fontId="10" fillId="9" borderId="1" xfId="0" applyNumberFormat="1" applyFont="1" applyFill="1" applyBorder="1" applyAlignment="1">
      <alignment vertical="top" wrapText="1"/>
    </xf>
    <xf numFmtId="0" fontId="16" fillId="9" borderId="1" xfId="0" applyFont="1" applyFill="1" applyBorder="1" applyAlignment="1">
      <alignment vertical="top" wrapText="1"/>
    </xf>
  </cellXfs>
  <cellStyles count="1">
    <cellStyle name="Normal" xfId="0" builtinId="0"/>
  </cellStyles>
  <dxfs count="1">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i.org/10.1007/s11162-022-09723-6" TargetMode="External"/><Relationship Id="rId13" Type="http://schemas.openxmlformats.org/officeDocument/2006/relationships/hyperlink" Target="https://consensus.app/papers/a-study-of-the-effects-and-policy-implications-of-flat-rate-keenan-chhatwal/29f850483b125d2c9f4e35706a9af81e/" TargetMode="External"/><Relationship Id="rId18" Type="http://schemas.openxmlformats.org/officeDocument/2006/relationships/hyperlink" Target="https://doi.org/10.18260/1-2--44522" TargetMode="External"/><Relationship Id="rId3" Type="http://schemas.openxmlformats.org/officeDocument/2006/relationships/hyperlink" Target="https://www.google.com/search?q=https://doi.org/10.1007/s11162-006-9018-9&amp;utm_source=gemini" TargetMode="External"/><Relationship Id="rId21" Type="http://schemas.openxmlformats.org/officeDocument/2006/relationships/printerSettings" Target="../printerSettings/printerSettings1.bin"/><Relationship Id="rId7" Type="http://schemas.openxmlformats.org/officeDocument/2006/relationships/hyperlink" Target="https://doi.org/10.3102/0162373711415261" TargetMode="External"/><Relationship Id="rId12" Type="http://schemas.openxmlformats.org/officeDocument/2006/relationships/hyperlink" Target="https://consensus.app/papers/tuition-equity-a-study-of-the-disparate-impacts-of-block-baine-brakora/156d9ccdd844583f9ef7cc51e4cceced/" TargetMode="External"/><Relationship Id="rId17" Type="http://schemas.openxmlformats.org/officeDocument/2006/relationships/hyperlink" Target="https://doi.org/10.18260/1-2--48180" TargetMode="External"/><Relationship Id="rId2" Type="http://schemas.openxmlformats.org/officeDocument/2006/relationships/hyperlink" Target="https://www.google.com/search?q=https://doi.org/10.1080/00221546.2007.11772076&amp;utm_source=gemini" TargetMode="External"/><Relationship Id="rId16" Type="http://schemas.openxmlformats.org/officeDocument/2006/relationships/hyperlink" Target="https://doi.org/10.1002/soej.12521" TargetMode="External"/><Relationship Id="rId20" Type="http://schemas.openxmlformats.org/officeDocument/2006/relationships/hyperlink" Target="https://doi.org/10.1162/edfp.a.460" TargetMode="External"/><Relationship Id="rId1" Type="http://schemas.openxmlformats.org/officeDocument/2006/relationships/hyperlink" Target="https://www.airweb.org/resources/publications/professional-file?utm_source=gemini" TargetMode="External"/><Relationship Id="rId6" Type="http://schemas.openxmlformats.org/officeDocument/2006/relationships/hyperlink" Target="https://doi.org/10.1002/pam.21891" TargetMode="External"/><Relationship Id="rId11" Type="http://schemas.openxmlformats.org/officeDocument/2006/relationships/hyperlink" Target="https://consensus.app/papers/marginal-pricing-and-student-investment-in-higher-hemelt-stange/c97a0c599b575124b84285f3838460df/" TargetMode="External"/><Relationship Id="rId5" Type="http://schemas.openxmlformats.org/officeDocument/2006/relationships/hyperlink" Target="https://www.google.com/search?q=https://doi.org/10.2202/1949-6605.1678&amp;utm_source=gemini" TargetMode="External"/><Relationship Id="rId15" Type="http://schemas.openxmlformats.org/officeDocument/2006/relationships/hyperlink" Target="https://consensus.app/papers/aligning-student-and-institution-incentives-in-higher-johnson/24ff620a82e959729c48e2ccce24d3e7/" TargetMode="External"/><Relationship Id="rId10" Type="http://schemas.openxmlformats.org/officeDocument/2006/relationships/hyperlink" Target="https://consensus.app/papers/aligning-student-and-institution-incentives-in-higher-johnson/24ff620a82e959729c48e2ccce24d3e7/" TargetMode="External"/><Relationship Id="rId19" Type="http://schemas.openxmlformats.org/officeDocument/2006/relationships/hyperlink" Target="https://doi.org/10.1186/s12651-023-00354-7" TargetMode="External"/><Relationship Id="rId4" Type="http://schemas.openxmlformats.org/officeDocument/2006/relationships/hyperlink" Target="https://www.google.com/search?q=https://doi.org/10.1109/TE.2024.1041234&amp;utm_source=gemini" TargetMode="External"/><Relationship Id="rId9" Type="http://schemas.openxmlformats.org/officeDocument/2006/relationships/hyperlink" Target="https://doi.org/10.1080/00221546.2010.11779063" TargetMode="External"/><Relationship Id="rId14" Type="http://schemas.openxmlformats.org/officeDocument/2006/relationships/hyperlink" Target="https://consensus.app/papers/the-impact-of-tuition-increases-on-enrollment-at-public-hemelt-marcotte/a90095cad36b584488692543d9d542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zoomScale="88" zoomScaleNormal="88" workbookViewId="0">
      <selection activeCell="B10" sqref="B10"/>
    </sheetView>
  </sheetViews>
  <sheetFormatPr baseColWidth="10" defaultColWidth="8.6640625" defaultRowHeight="14.4" x14ac:dyDescent="0.3"/>
  <cols>
    <col min="1" max="1" width="30" customWidth="1"/>
    <col min="2" max="2" width="110" customWidth="1"/>
  </cols>
  <sheetData>
    <row r="1" spans="1:2" ht="17.399999999999999" x14ac:dyDescent="0.3">
      <c r="A1" s="1" t="s">
        <v>0</v>
      </c>
    </row>
    <row r="2" spans="1:2" x14ac:dyDescent="0.3">
      <c r="A2" s="2" t="s">
        <v>1</v>
      </c>
    </row>
    <row r="4" spans="1:2" ht="15" customHeight="1" x14ac:dyDescent="0.3">
      <c r="A4" s="3" t="s">
        <v>2</v>
      </c>
      <c r="B4" s="4"/>
    </row>
    <row r="5" spans="1:2" ht="26.4" x14ac:dyDescent="0.3">
      <c r="A5" s="5" t="s">
        <v>3</v>
      </c>
      <c r="B5" s="6" t="s">
        <v>4</v>
      </c>
    </row>
    <row r="6" spans="1:2" ht="39.6" x14ac:dyDescent="0.3">
      <c r="A6" s="5" t="s">
        <v>5</v>
      </c>
      <c r="B6" s="6" t="s">
        <v>6</v>
      </c>
    </row>
    <row r="7" spans="1:2" ht="15" customHeight="1" x14ac:dyDescent="0.3">
      <c r="A7" s="3" t="s">
        <v>7</v>
      </c>
      <c r="B7" s="4"/>
    </row>
    <row r="8" spans="1:2" ht="26.4" x14ac:dyDescent="0.3">
      <c r="A8" s="5" t="s">
        <v>8</v>
      </c>
      <c r="B8" s="6" t="s">
        <v>9</v>
      </c>
    </row>
    <row r="9" spans="1:2" ht="26.4" x14ac:dyDescent="0.3">
      <c r="A9" s="5" t="s">
        <v>10</v>
      </c>
      <c r="B9" s="6" t="s">
        <v>11</v>
      </c>
    </row>
    <row r="10" spans="1:2" ht="39.6" x14ac:dyDescent="0.3">
      <c r="A10" s="5" t="s">
        <v>12</v>
      </c>
      <c r="B10" s="6" t="s">
        <v>13</v>
      </c>
    </row>
    <row r="11" spans="1:2" ht="15" customHeight="1" x14ac:dyDescent="0.3">
      <c r="A11" s="5" t="s">
        <v>14</v>
      </c>
      <c r="B11" s="6" t="s">
        <v>15</v>
      </c>
    </row>
    <row r="12" spans="1:2" ht="26.4" x14ac:dyDescent="0.3">
      <c r="A12" s="5" t="s">
        <v>16</v>
      </c>
      <c r="B12" s="6" t="s">
        <v>17</v>
      </c>
    </row>
    <row r="13" spans="1:2" ht="26.4" x14ac:dyDescent="0.3">
      <c r="A13" s="5" t="s">
        <v>18</v>
      </c>
      <c r="B13" s="6" t="s">
        <v>19</v>
      </c>
    </row>
    <row r="14" spans="1:2" ht="15" customHeight="1" x14ac:dyDescent="0.3">
      <c r="A14" s="3" t="s">
        <v>20</v>
      </c>
      <c r="B14" s="4"/>
    </row>
    <row r="15" spans="1:2" ht="15" customHeight="1" x14ac:dyDescent="0.3">
      <c r="A15" s="5" t="s">
        <v>21</v>
      </c>
      <c r="B15" s="6" t="s">
        <v>22</v>
      </c>
    </row>
    <row r="16" spans="1:2" ht="15" customHeight="1" x14ac:dyDescent="0.3">
      <c r="A16" s="5" t="s">
        <v>23</v>
      </c>
      <c r="B16" s="6" t="s">
        <v>24</v>
      </c>
    </row>
    <row r="17" spans="1:2" ht="15" customHeight="1" x14ac:dyDescent="0.3">
      <c r="A17" s="5" t="s">
        <v>25</v>
      </c>
      <c r="B17" s="6" t="s">
        <v>26</v>
      </c>
    </row>
    <row r="18" spans="1:2" ht="15" customHeight="1" x14ac:dyDescent="0.3">
      <c r="A18" s="5" t="s">
        <v>27</v>
      </c>
      <c r="B18" s="6" t="s">
        <v>28</v>
      </c>
    </row>
    <row r="19" spans="1:2" ht="15" customHeight="1" x14ac:dyDescent="0.3">
      <c r="A19" s="3" t="s">
        <v>29</v>
      </c>
      <c r="B19" s="4"/>
    </row>
    <row r="20" spans="1:2" ht="15" customHeight="1" x14ac:dyDescent="0.3">
      <c r="A20" s="5" t="s">
        <v>30</v>
      </c>
      <c r="B20" s="6" t="s">
        <v>31</v>
      </c>
    </row>
    <row r="21" spans="1:2" ht="15" customHeight="1" x14ac:dyDescent="0.3">
      <c r="A21" s="5" t="s">
        <v>32</v>
      </c>
      <c r="B21" s="6" t="s">
        <v>33</v>
      </c>
    </row>
    <row r="22" spans="1:2" ht="15" customHeight="1" x14ac:dyDescent="0.3">
      <c r="A22" s="5" t="s">
        <v>34</v>
      </c>
      <c r="B22" s="6" t="s">
        <v>35</v>
      </c>
    </row>
    <row r="23" spans="1:2" ht="39.6" x14ac:dyDescent="0.3">
      <c r="A23" s="5" t="s">
        <v>36</v>
      </c>
      <c r="B23" s="6" t="s">
        <v>37</v>
      </c>
    </row>
    <row r="24" spans="1:2" ht="15" customHeight="1" x14ac:dyDescent="0.3">
      <c r="A24" s="5" t="s">
        <v>38</v>
      </c>
      <c r="B24" s="6" t="s">
        <v>39</v>
      </c>
    </row>
    <row r="25" spans="1:2" ht="15" customHeight="1" x14ac:dyDescent="0.3"/>
    <row r="26" spans="1:2" ht="30" customHeight="1" x14ac:dyDescent="0.3">
      <c r="A26" s="5" t="s">
        <v>40</v>
      </c>
      <c r="B26" s="7" t="s">
        <v>41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9"/>
  <sheetViews>
    <sheetView zoomScaleNormal="100" workbookViewId="0">
      <pane xSplit="3" ySplit="5" topLeftCell="N7" activePane="bottomRight" state="frozen"/>
      <selection pane="topRight" activeCell="E1" sqref="E1"/>
      <selection pane="bottomLeft" activeCell="A6" sqref="A6"/>
      <selection pane="bottomRight" activeCell="V9" sqref="V9"/>
    </sheetView>
  </sheetViews>
  <sheetFormatPr baseColWidth="10" defaultColWidth="8.6640625" defaultRowHeight="13.8" x14ac:dyDescent="0.25"/>
  <cols>
    <col min="1" max="1" width="10" style="8" customWidth="1"/>
    <col min="2" max="2" width="7" style="8" customWidth="1"/>
    <col min="3" max="3" width="10" style="8" customWidth="1"/>
    <col min="4" max="4" width="46" style="8" customWidth="1"/>
    <col min="5" max="5" width="30" style="8" customWidth="1"/>
    <col min="6" max="6" width="34" style="8" customWidth="1"/>
    <col min="7" max="7" width="42" style="8" customWidth="1"/>
    <col min="8" max="8" width="30" style="8" customWidth="1"/>
    <col min="9" max="9" width="58" style="8" customWidth="1"/>
    <col min="10" max="10" width="12" style="8" customWidth="1"/>
    <col min="11" max="13" width="16" style="8" customWidth="1"/>
    <col min="14" max="14" width="11" style="8" customWidth="1"/>
    <col min="15" max="15" width="18" style="8" customWidth="1"/>
    <col min="16" max="16" width="40" style="8" customWidth="1"/>
    <col min="17" max="17" width="18" style="8" customWidth="1"/>
    <col min="18" max="18" width="12" style="8" customWidth="1"/>
    <col min="19" max="16384" width="8.6640625" style="8"/>
  </cols>
  <sheetData>
    <row r="1" spans="1:19" ht="17.399999999999999" x14ac:dyDescent="0.3">
      <c r="A1" s="9" t="s">
        <v>42</v>
      </c>
    </row>
    <row r="2" spans="1:19" x14ac:dyDescent="0.25">
      <c r="A2" s="10" t="s">
        <v>43</v>
      </c>
    </row>
    <row r="3" spans="1:19" x14ac:dyDescent="0.25">
      <c r="A3" s="10" t="s">
        <v>44</v>
      </c>
    </row>
    <row r="5" spans="1:19" ht="48" customHeight="1" x14ac:dyDescent="0.25">
      <c r="A5" s="11" t="s">
        <v>45</v>
      </c>
      <c r="B5" s="11" t="s">
        <v>46</v>
      </c>
      <c r="C5" s="11" t="s">
        <v>47</v>
      </c>
      <c r="D5" s="11" t="s">
        <v>48</v>
      </c>
      <c r="E5" s="11" t="s">
        <v>49</v>
      </c>
      <c r="F5" s="11" t="s">
        <v>50</v>
      </c>
      <c r="G5" s="11" t="s">
        <v>51</v>
      </c>
      <c r="H5" s="11" t="s">
        <v>52</v>
      </c>
      <c r="I5" s="11" t="s">
        <v>53</v>
      </c>
      <c r="J5" s="11" t="s">
        <v>54</v>
      </c>
      <c r="K5" s="11" t="s">
        <v>55</v>
      </c>
      <c r="L5" s="11" t="s">
        <v>56</v>
      </c>
      <c r="M5" s="11" t="s">
        <v>57</v>
      </c>
      <c r="N5" s="11" t="s">
        <v>58</v>
      </c>
      <c r="O5" s="11" t="s">
        <v>59</v>
      </c>
      <c r="P5" s="11" t="s">
        <v>60</v>
      </c>
      <c r="Q5" s="11" t="s">
        <v>61</v>
      </c>
      <c r="R5" s="11" t="s">
        <v>62</v>
      </c>
      <c r="S5" s="11" t="s">
        <v>63</v>
      </c>
    </row>
    <row r="6" spans="1:19" ht="39.6" x14ac:dyDescent="0.25">
      <c r="A6" s="12" t="s">
        <v>64</v>
      </c>
      <c r="B6" s="12" t="s">
        <v>65</v>
      </c>
      <c r="C6" s="13" t="s">
        <v>66</v>
      </c>
      <c r="D6" s="14" t="s">
        <v>67</v>
      </c>
      <c r="E6" s="14" t="s">
        <v>68</v>
      </c>
      <c r="F6" s="15" t="s">
        <v>69</v>
      </c>
      <c r="G6" s="14" t="s">
        <v>70</v>
      </c>
      <c r="H6" s="14" t="s">
        <v>71</v>
      </c>
      <c r="I6" s="14" t="s">
        <v>72</v>
      </c>
      <c r="J6" s="14" t="s">
        <v>365</v>
      </c>
      <c r="K6" s="14" t="s">
        <v>34</v>
      </c>
      <c r="L6" s="15" t="s">
        <v>34</v>
      </c>
      <c r="M6" s="14" t="s">
        <v>34</v>
      </c>
      <c r="N6" s="17" t="str">
        <f t="shared" ref="N6:N40" si="0">IF(COUNTA(K6:M6)&lt;2,"",IF(SUMPRODUCT((K6:M6&lt;&gt;"")/COUNTIF(K6:M6,K6:M6&amp;""))=1,"Sí","No"))</f>
        <v>Sí</v>
      </c>
      <c r="O6" s="14" t="s">
        <v>34</v>
      </c>
      <c r="P6" s="14"/>
      <c r="Q6" s="15"/>
      <c r="R6" s="14"/>
      <c r="S6" s="15"/>
    </row>
    <row r="7" spans="1:19" ht="105.6" x14ac:dyDescent="0.25">
      <c r="A7" s="12" t="s">
        <v>73</v>
      </c>
      <c r="B7" s="12" t="s">
        <v>65</v>
      </c>
      <c r="C7" s="13" t="s">
        <v>66</v>
      </c>
      <c r="D7" s="14" t="s">
        <v>74</v>
      </c>
      <c r="E7" s="14" t="s">
        <v>75</v>
      </c>
      <c r="F7" s="15" t="s">
        <v>76</v>
      </c>
      <c r="G7" s="14" t="s">
        <v>77</v>
      </c>
      <c r="H7" s="14" t="s">
        <v>78</v>
      </c>
      <c r="I7" s="14" t="s">
        <v>79</v>
      </c>
      <c r="J7" s="14" t="s">
        <v>107</v>
      </c>
      <c r="K7" s="14" t="s">
        <v>30</v>
      </c>
      <c r="L7" s="15" t="s">
        <v>30</v>
      </c>
      <c r="M7" s="14" t="s">
        <v>30</v>
      </c>
      <c r="N7" s="17" t="str">
        <f t="shared" si="0"/>
        <v>Sí</v>
      </c>
      <c r="O7" s="14" t="s">
        <v>30</v>
      </c>
      <c r="P7" s="14" t="s">
        <v>368</v>
      </c>
      <c r="Q7" s="15" t="s">
        <v>366</v>
      </c>
      <c r="R7" s="31">
        <v>46292</v>
      </c>
      <c r="S7" s="14" t="s">
        <v>369</v>
      </c>
    </row>
    <row r="8" spans="1:19" ht="39.6" x14ac:dyDescent="0.25">
      <c r="A8" s="12" t="s">
        <v>80</v>
      </c>
      <c r="B8" s="12" t="s">
        <v>65</v>
      </c>
      <c r="C8" s="13" t="s">
        <v>66</v>
      </c>
      <c r="D8" s="14" t="s">
        <v>81</v>
      </c>
      <c r="E8" s="14" t="s">
        <v>82</v>
      </c>
      <c r="F8" s="15" t="s">
        <v>83</v>
      </c>
      <c r="G8" s="14" t="s">
        <v>84</v>
      </c>
      <c r="H8" s="14" t="s">
        <v>85</v>
      </c>
      <c r="I8" s="14" t="s">
        <v>86</v>
      </c>
      <c r="J8" s="14" t="s">
        <v>107</v>
      </c>
      <c r="K8" s="14" t="s">
        <v>32</v>
      </c>
      <c r="L8" s="15" t="s">
        <v>32</v>
      </c>
      <c r="M8" s="14" t="s">
        <v>30</v>
      </c>
      <c r="N8" s="17" t="str">
        <f t="shared" si="0"/>
        <v>No</v>
      </c>
      <c r="O8" s="14" t="s">
        <v>32</v>
      </c>
      <c r="P8" s="14"/>
      <c r="Q8" s="15"/>
      <c r="R8" s="14"/>
      <c r="S8" s="14"/>
    </row>
    <row r="9" spans="1:19" ht="39.6" x14ac:dyDescent="0.25">
      <c r="A9" s="12" t="s">
        <v>87</v>
      </c>
      <c r="B9" s="12" t="s">
        <v>65</v>
      </c>
      <c r="C9" s="13" t="s">
        <v>66</v>
      </c>
      <c r="D9" s="14" t="s">
        <v>88</v>
      </c>
      <c r="E9" s="14" t="s">
        <v>89</v>
      </c>
      <c r="F9" s="15" t="s">
        <v>90</v>
      </c>
      <c r="G9" s="14" t="s">
        <v>91</v>
      </c>
      <c r="H9" s="14" t="s">
        <v>92</v>
      </c>
      <c r="I9" s="14" t="s">
        <v>93</v>
      </c>
      <c r="J9" s="14" t="s">
        <v>365</v>
      </c>
      <c r="K9" s="14" t="s">
        <v>34</v>
      </c>
      <c r="L9" s="15" t="s">
        <v>34</v>
      </c>
      <c r="M9" s="14" t="s">
        <v>34</v>
      </c>
      <c r="N9" s="17" t="str">
        <f t="shared" si="0"/>
        <v>Sí</v>
      </c>
      <c r="O9" s="14" t="s">
        <v>34</v>
      </c>
      <c r="P9" s="14"/>
      <c r="Q9" s="15"/>
      <c r="R9" s="14"/>
      <c r="S9" s="14"/>
    </row>
    <row r="10" spans="1:19" ht="39.6" x14ac:dyDescent="0.25">
      <c r="A10" s="12" t="s">
        <v>94</v>
      </c>
      <c r="B10" s="12" t="s">
        <v>65</v>
      </c>
      <c r="C10" s="13" t="s">
        <v>66</v>
      </c>
      <c r="D10" s="14" t="s">
        <v>95</v>
      </c>
      <c r="E10" s="14" t="s">
        <v>96</v>
      </c>
      <c r="F10" s="15" t="s">
        <v>97</v>
      </c>
      <c r="G10" s="14" t="s">
        <v>98</v>
      </c>
      <c r="H10" s="14" t="s">
        <v>99</v>
      </c>
      <c r="I10" s="14" t="s">
        <v>100</v>
      </c>
      <c r="J10" s="14" t="s">
        <v>107</v>
      </c>
      <c r="K10" s="14" t="s">
        <v>30</v>
      </c>
      <c r="L10" s="15" t="s">
        <v>30</v>
      </c>
      <c r="M10" s="14" t="s">
        <v>30</v>
      </c>
      <c r="N10" s="17" t="str">
        <f t="shared" si="0"/>
        <v>Sí</v>
      </c>
      <c r="O10" s="14" t="s">
        <v>34</v>
      </c>
      <c r="P10" s="14"/>
      <c r="Q10" s="15" t="s">
        <v>366</v>
      </c>
      <c r="R10" s="31">
        <v>46292</v>
      </c>
      <c r="S10" s="14"/>
    </row>
    <row r="11" spans="1:19" ht="79.2" x14ac:dyDescent="0.25">
      <c r="A11" s="12" t="s">
        <v>101</v>
      </c>
      <c r="B11" s="12" t="s">
        <v>65</v>
      </c>
      <c r="C11" s="19" t="s">
        <v>102</v>
      </c>
      <c r="D11" s="14" t="s">
        <v>103</v>
      </c>
      <c r="E11" s="14" t="s">
        <v>104</v>
      </c>
      <c r="F11" s="15" t="s">
        <v>105</v>
      </c>
      <c r="G11" s="14" t="s">
        <v>106</v>
      </c>
      <c r="H11" s="14" t="s">
        <v>107</v>
      </c>
      <c r="I11" s="14" t="s">
        <v>108</v>
      </c>
      <c r="J11" s="14" t="s">
        <v>365</v>
      </c>
      <c r="K11" s="14" t="s">
        <v>34</v>
      </c>
      <c r="L11" s="15" t="s">
        <v>34</v>
      </c>
      <c r="M11" s="14" t="s">
        <v>34</v>
      </c>
      <c r="N11" s="17" t="str">
        <f t="shared" si="0"/>
        <v>Sí</v>
      </c>
      <c r="O11" s="14" t="s">
        <v>34</v>
      </c>
      <c r="P11" s="14"/>
      <c r="Q11" s="14"/>
      <c r="R11" s="15"/>
      <c r="S11" s="14"/>
    </row>
    <row r="12" spans="1:19" ht="66" x14ac:dyDescent="0.25">
      <c r="A12" s="12" t="s">
        <v>109</v>
      </c>
      <c r="B12" s="12" t="s">
        <v>65</v>
      </c>
      <c r="C12" s="19" t="s">
        <v>102</v>
      </c>
      <c r="D12" s="14" t="s">
        <v>110</v>
      </c>
      <c r="E12" s="14" t="s">
        <v>111</v>
      </c>
      <c r="F12" s="15" t="s">
        <v>112</v>
      </c>
      <c r="G12" s="14" t="s">
        <v>113</v>
      </c>
      <c r="H12" s="14" t="s">
        <v>107</v>
      </c>
      <c r="I12" s="14" t="s">
        <v>114</v>
      </c>
      <c r="J12" s="14" t="s">
        <v>365</v>
      </c>
      <c r="K12" s="14" t="s">
        <v>34</v>
      </c>
      <c r="L12" s="15" t="s">
        <v>34</v>
      </c>
      <c r="M12" s="14" t="s">
        <v>34</v>
      </c>
      <c r="N12" s="17" t="str">
        <f t="shared" si="0"/>
        <v>Sí</v>
      </c>
      <c r="O12" s="14" t="s">
        <v>34</v>
      </c>
      <c r="P12" s="14"/>
      <c r="Q12" s="14"/>
      <c r="R12" s="15"/>
      <c r="S12" s="14"/>
    </row>
    <row r="13" spans="1:19" ht="66" x14ac:dyDescent="0.25">
      <c r="A13" s="12" t="s">
        <v>115</v>
      </c>
      <c r="B13" s="12" t="s">
        <v>65</v>
      </c>
      <c r="C13" s="19" t="s">
        <v>102</v>
      </c>
      <c r="D13" s="14" t="s">
        <v>116</v>
      </c>
      <c r="E13" s="14" t="s">
        <v>117</v>
      </c>
      <c r="F13" s="15" t="s">
        <v>118</v>
      </c>
      <c r="G13" s="14" t="s">
        <v>119</v>
      </c>
      <c r="H13" s="14" t="s">
        <v>107</v>
      </c>
      <c r="I13" s="14" t="s">
        <v>120</v>
      </c>
      <c r="J13" s="14" t="s">
        <v>107</v>
      </c>
      <c r="K13" s="14" t="s">
        <v>30</v>
      </c>
      <c r="L13" s="15" t="s">
        <v>30</v>
      </c>
      <c r="M13" s="14" t="s">
        <v>30</v>
      </c>
      <c r="N13" s="17" t="str">
        <f t="shared" si="0"/>
        <v>Sí</v>
      </c>
      <c r="O13" s="14" t="s">
        <v>34</v>
      </c>
      <c r="P13" s="14"/>
      <c r="Q13" s="15" t="s">
        <v>367</v>
      </c>
      <c r="R13" s="31">
        <v>46291</v>
      </c>
      <c r="S13" s="14"/>
    </row>
    <row r="14" spans="1:19" ht="66" x14ac:dyDescent="0.25">
      <c r="A14" s="12" t="s">
        <v>121</v>
      </c>
      <c r="B14" s="12" t="s">
        <v>65</v>
      </c>
      <c r="C14" s="19" t="s">
        <v>102</v>
      </c>
      <c r="D14" s="14" t="s">
        <v>122</v>
      </c>
      <c r="E14" s="14" t="s">
        <v>123</v>
      </c>
      <c r="F14" s="15" t="s">
        <v>124</v>
      </c>
      <c r="G14" s="14" t="s">
        <v>125</v>
      </c>
      <c r="H14" s="14" t="s">
        <v>107</v>
      </c>
      <c r="I14" s="14" t="s">
        <v>126</v>
      </c>
      <c r="J14" s="14" t="s">
        <v>365</v>
      </c>
      <c r="K14" s="14" t="s">
        <v>34</v>
      </c>
      <c r="L14" s="15" t="s">
        <v>34</v>
      </c>
      <c r="M14" s="14" t="s">
        <v>34</v>
      </c>
      <c r="N14" s="17" t="str">
        <f t="shared" si="0"/>
        <v>Sí</v>
      </c>
      <c r="O14" s="14" t="s">
        <v>34</v>
      </c>
      <c r="P14" s="14"/>
      <c r="Q14" s="14"/>
      <c r="R14" s="15"/>
      <c r="S14" s="14"/>
    </row>
    <row r="15" spans="1:19" ht="105.6" x14ac:dyDescent="0.25">
      <c r="A15" s="12" t="s">
        <v>127</v>
      </c>
      <c r="B15" s="12" t="s">
        <v>65</v>
      </c>
      <c r="C15" s="19" t="s">
        <v>102</v>
      </c>
      <c r="D15" s="14" t="s">
        <v>128</v>
      </c>
      <c r="E15" s="14" t="s">
        <v>129</v>
      </c>
      <c r="F15" s="15" t="s">
        <v>130</v>
      </c>
      <c r="G15" s="14" t="s">
        <v>131</v>
      </c>
      <c r="H15" s="14" t="s">
        <v>107</v>
      </c>
      <c r="I15" s="14" t="s">
        <v>132</v>
      </c>
      <c r="J15" s="14" t="s">
        <v>107</v>
      </c>
      <c r="K15" s="14" t="s">
        <v>32</v>
      </c>
      <c r="L15" s="15" t="s">
        <v>32</v>
      </c>
      <c r="M15" s="14" t="s">
        <v>30</v>
      </c>
      <c r="N15" s="17" t="str">
        <f t="shared" si="0"/>
        <v>No</v>
      </c>
      <c r="O15" s="14" t="s">
        <v>32</v>
      </c>
      <c r="P15" s="14" t="s">
        <v>401</v>
      </c>
      <c r="Q15" s="15" t="s">
        <v>312</v>
      </c>
      <c r="R15" s="31">
        <v>46291</v>
      </c>
      <c r="S15" s="14" t="s">
        <v>402</v>
      </c>
    </row>
    <row r="16" spans="1:19" ht="78" customHeight="1" x14ac:dyDescent="0.25">
      <c r="A16" s="12" t="s">
        <v>133</v>
      </c>
      <c r="B16" s="12" t="s">
        <v>65</v>
      </c>
      <c r="C16" s="20" t="s">
        <v>134</v>
      </c>
      <c r="D16" s="14" t="s">
        <v>313</v>
      </c>
      <c r="E16" s="14" t="s">
        <v>318</v>
      </c>
      <c r="F16" s="15" t="s">
        <v>321</v>
      </c>
      <c r="G16" s="14" t="s">
        <v>325</v>
      </c>
      <c r="H16" s="14" t="s">
        <v>330</v>
      </c>
      <c r="I16" s="14" t="s">
        <v>333</v>
      </c>
      <c r="J16" s="14" t="s">
        <v>107</v>
      </c>
      <c r="K16" s="14" t="s">
        <v>30</v>
      </c>
      <c r="L16" s="15" t="s">
        <v>30</v>
      </c>
      <c r="M16" s="14" t="s">
        <v>30</v>
      </c>
      <c r="N16" s="17" t="str">
        <f t="shared" si="0"/>
        <v>Sí</v>
      </c>
      <c r="O16" s="14" t="s">
        <v>30</v>
      </c>
      <c r="P16" s="14" t="s">
        <v>370</v>
      </c>
      <c r="Q16" s="15" t="s">
        <v>312</v>
      </c>
      <c r="R16" s="31">
        <v>46291</v>
      </c>
      <c r="S16" s="14" t="s">
        <v>371</v>
      </c>
    </row>
    <row r="17" spans="1:19" ht="87" customHeight="1" x14ac:dyDescent="0.25">
      <c r="A17" s="12" t="s">
        <v>135</v>
      </c>
      <c r="B17" s="12" t="s">
        <v>65</v>
      </c>
      <c r="C17" s="20" t="s">
        <v>134</v>
      </c>
      <c r="D17" s="14" t="s">
        <v>314</v>
      </c>
      <c r="E17" s="14" t="s">
        <v>142</v>
      </c>
      <c r="F17" s="15" t="s">
        <v>322</v>
      </c>
      <c r="G17" s="14" t="s">
        <v>326</v>
      </c>
      <c r="H17" s="14" t="s">
        <v>331</v>
      </c>
      <c r="I17" s="14" t="s">
        <v>334</v>
      </c>
      <c r="J17" s="14" t="s">
        <v>107</v>
      </c>
      <c r="K17" s="14" t="s">
        <v>30</v>
      </c>
      <c r="L17" s="15" t="s">
        <v>30</v>
      </c>
      <c r="M17" s="14" t="s">
        <v>30</v>
      </c>
      <c r="N17" s="17" t="str">
        <f t="shared" si="0"/>
        <v>Sí</v>
      </c>
      <c r="O17" s="14" t="s">
        <v>30</v>
      </c>
      <c r="P17" s="14" t="s">
        <v>372</v>
      </c>
      <c r="Q17" s="15" t="s">
        <v>366</v>
      </c>
      <c r="R17" s="31">
        <v>46292</v>
      </c>
      <c r="S17" s="14" t="s">
        <v>373</v>
      </c>
    </row>
    <row r="18" spans="1:19" ht="66.599999999999994" customHeight="1" x14ac:dyDescent="0.25">
      <c r="A18" s="12" t="s">
        <v>136</v>
      </c>
      <c r="B18" s="12" t="s">
        <v>65</v>
      </c>
      <c r="C18" s="20" t="s">
        <v>134</v>
      </c>
      <c r="D18" s="14" t="s">
        <v>315</v>
      </c>
      <c r="E18" s="14" t="s">
        <v>149</v>
      </c>
      <c r="F18" s="15" t="s">
        <v>323</v>
      </c>
      <c r="G18" s="14" t="s">
        <v>327</v>
      </c>
      <c r="H18" s="14" t="s">
        <v>332</v>
      </c>
      <c r="I18" s="14" t="s">
        <v>335</v>
      </c>
      <c r="J18" s="14" t="s">
        <v>107</v>
      </c>
      <c r="K18" s="14" t="s">
        <v>30</v>
      </c>
      <c r="L18" s="15" t="s">
        <v>30</v>
      </c>
      <c r="M18" s="14" t="s">
        <v>30</v>
      </c>
      <c r="N18" s="17" t="str">
        <f t="shared" si="0"/>
        <v>Sí</v>
      </c>
      <c r="O18" s="14" t="s">
        <v>30</v>
      </c>
      <c r="P18" s="14" t="s">
        <v>374</v>
      </c>
      <c r="Q18" s="15" t="s">
        <v>312</v>
      </c>
      <c r="R18" s="31">
        <v>46291</v>
      </c>
      <c r="S18" s="14" t="s">
        <v>375</v>
      </c>
    </row>
    <row r="19" spans="1:19" ht="82.8" customHeight="1" x14ac:dyDescent="0.25">
      <c r="A19" s="12" t="s">
        <v>137</v>
      </c>
      <c r="B19" s="12" t="s">
        <v>65</v>
      </c>
      <c r="C19" s="20" t="s">
        <v>134</v>
      </c>
      <c r="D19" s="14" t="s">
        <v>316</v>
      </c>
      <c r="E19" s="14" t="s">
        <v>319</v>
      </c>
      <c r="F19" s="15" t="s">
        <v>324</v>
      </c>
      <c r="G19" s="14" t="s">
        <v>328</v>
      </c>
      <c r="H19" s="14" t="s">
        <v>330</v>
      </c>
      <c r="I19" s="14" t="s">
        <v>336</v>
      </c>
      <c r="J19" s="14" t="s">
        <v>365</v>
      </c>
      <c r="K19" s="14" t="s">
        <v>34</v>
      </c>
      <c r="L19" s="15" t="s">
        <v>34</v>
      </c>
      <c r="M19" s="14" t="s">
        <v>34</v>
      </c>
      <c r="N19" s="17" t="str">
        <f t="shared" si="0"/>
        <v>Sí</v>
      </c>
      <c r="O19" s="14" t="s">
        <v>34</v>
      </c>
      <c r="P19" s="14"/>
      <c r="Q19" s="14"/>
      <c r="R19" s="15"/>
      <c r="S19" s="14"/>
    </row>
    <row r="20" spans="1:19" ht="83.4" customHeight="1" x14ac:dyDescent="0.25">
      <c r="A20" s="12" t="s">
        <v>138</v>
      </c>
      <c r="B20" s="12" t="s">
        <v>65</v>
      </c>
      <c r="C20" s="20" t="s">
        <v>134</v>
      </c>
      <c r="D20" s="14" t="s">
        <v>317</v>
      </c>
      <c r="E20" s="14" t="s">
        <v>320</v>
      </c>
      <c r="F20" s="15" t="s">
        <v>324</v>
      </c>
      <c r="G20" s="14" t="s">
        <v>329</v>
      </c>
      <c r="H20" s="14" t="s">
        <v>330</v>
      </c>
      <c r="I20" s="14" t="s">
        <v>337</v>
      </c>
      <c r="J20" s="14" t="s">
        <v>365</v>
      </c>
      <c r="K20" s="14" t="s">
        <v>34</v>
      </c>
      <c r="L20" s="15" t="s">
        <v>34</v>
      </c>
      <c r="M20" s="14" t="s">
        <v>34</v>
      </c>
      <c r="N20" s="17" t="str">
        <f t="shared" si="0"/>
        <v>Sí</v>
      </c>
      <c r="O20" s="14" t="s">
        <v>34</v>
      </c>
      <c r="P20" s="14"/>
      <c r="Q20" s="14"/>
      <c r="R20" s="15"/>
      <c r="S20" s="14"/>
    </row>
    <row r="21" spans="1:19" ht="114.75" customHeight="1" x14ac:dyDescent="0.25">
      <c r="A21" s="12" t="s">
        <v>139</v>
      </c>
      <c r="B21" s="12" t="s">
        <v>140</v>
      </c>
      <c r="C21" s="13" t="s">
        <v>66</v>
      </c>
      <c r="D21" s="14" t="s">
        <v>141</v>
      </c>
      <c r="E21" s="14" t="s">
        <v>142</v>
      </c>
      <c r="F21" s="15" t="s">
        <v>143</v>
      </c>
      <c r="G21" s="14" t="s">
        <v>144</v>
      </c>
      <c r="H21" s="14" t="s">
        <v>145</v>
      </c>
      <c r="I21" s="14" t="s">
        <v>146</v>
      </c>
      <c r="J21" s="14" t="s">
        <v>107</v>
      </c>
      <c r="K21" s="14" t="s">
        <v>30</v>
      </c>
      <c r="L21" s="15" t="s">
        <v>30</v>
      </c>
      <c r="M21" s="14" t="s">
        <v>30</v>
      </c>
      <c r="N21" s="17" t="str">
        <f t="shared" si="0"/>
        <v>Sí</v>
      </c>
      <c r="O21" s="14" t="s">
        <v>30</v>
      </c>
      <c r="P21" s="14" t="s">
        <v>376</v>
      </c>
      <c r="Q21" s="15" t="s">
        <v>312</v>
      </c>
      <c r="R21" s="31">
        <v>46291</v>
      </c>
      <c r="S21" s="14" t="s">
        <v>377</v>
      </c>
    </row>
    <row r="22" spans="1:19" ht="114.75" customHeight="1" x14ac:dyDescent="0.25">
      <c r="A22" s="12" t="s">
        <v>147</v>
      </c>
      <c r="B22" s="12" t="s">
        <v>140</v>
      </c>
      <c r="C22" s="13" t="s">
        <v>66</v>
      </c>
      <c r="D22" s="14" t="s">
        <v>148</v>
      </c>
      <c r="E22" s="14" t="s">
        <v>149</v>
      </c>
      <c r="F22" s="15" t="s">
        <v>150</v>
      </c>
      <c r="G22" s="14" t="s">
        <v>151</v>
      </c>
      <c r="H22" s="14" t="s">
        <v>152</v>
      </c>
      <c r="I22" s="14" t="s">
        <v>153</v>
      </c>
      <c r="J22" s="14" t="s">
        <v>107</v>
      </c>
      <c r="K22" s="14" t="s">
        <v>30</v>
      </c>
      <c r="L22" s="15" t="s">
        <v>30</v>
      </c>
      <c r="M22" s="14" t="s">
        <v>30</v>
      </c>
      <c r="N22" s="17" t="str">
        <f t="shared" si="0"/>
        <v>Sí</v>
      </c>
      <c r="O22" s="14" t="s">
        <v>30</v>
      </c>
      <c r="P22" s="14" t="s">
        <v>378</v>
      </c>
      <c r="Q22" s="15" t="s">
        <v>366</v>
      </c>
      <c r="R22" s="31">
        <v>46292</v>
      </c>
      <c r="S22" s="14" t="s">
        <v>379</v>
      </c>
    </row>
    <row r="23" spans="1:19" ht="114.75" customHeight="1" x14ac:dyDescent="0.25">
      <c r="A23" s="12" t="s">
        <v>154</v>
      </c>
      <c r="B23" s="12" t="s">
        <v>140</v>
      </c>
      <c r="C23" s="13" t="s">
        <v>66</v>
      </c>
      <c r="D23" s="14" t="s">
        <v>155</v>
      </c>
      <c r="E23" s="14" t="s">
        <v>117</v>
      </c>
      <c r="F23" s="15" t="s">
        <v>156</v>
      </c>
      <c r="G23" s="14" t="s">
        <v>157</v>
      </c>
      <c r="H23" s="14" t="s">
        <v>158</v>
      </c>
      <c r="I23" s="14" t="s">
        <v>159</v>
      </c>
      <c r="J23" s="14" t="s">
        <v>107</v>
      </c>
      <c r="K23" s="14" t="s">
        <v>30</v>
      </c>
      <c r="L23" s="15" t="s">
        <v>30</v>
      </c>
      <c r="M23" s="14" t="s">
        <v>30</v>
      </c>
      <c r="N23" s="17" t="str">
        <f t="shared" si="0"/>
        <v>Sí</v>
      </c>
      <c r="O23" s="14" t="s">
        <v>30</v>
      </c>
      <c r="P23" s="14" t="s">
        <v>380</v>
      </c>
      <c r="Q23" s="15" t="s">
        <v>367</v>
      </c>
      <c r="R23" s="31">
        <v>46291</v>
      </c>
      <c r="S23" s="14" t="s">
        <v>381</v>
      </c>
    </row>
    <row r="24" spans="1:19" ht="114.75" customHeight="1" x14ac:dyDescent="0.25">
      <c r="A24" s="12" t="s">
        <v>160</v>
      </c>
      <c r="B24" s="12" t="s">
        <v>140</v>
      </c>
      <c r="C24" s="13" t="s">
        <v>66</v>
      </c>
      <c r="D24" s="14" t="s">
        <v>161</v>
      </c>
      <c r="E24" s="14" t="s">
        <v>111</v>
      </c>
      <c r="F24" s="15" t="s">
        <v>162</v>
      </c>
      <c r="G24" s="14" t="s">
        <v>163</v>
      </c>
      <c r="H24" s="14" t="s">
        <v>164</v>
      </c>
      <c r="I24" s="14" t="s">
        <v>165</v>
      </c>
      <c r="J24" s="14" t="s">
        <v>107</v>
      </c>
      <c r="K24" s="14" t="s">
        <v>30</v>
      </c>
      <c r="L24" s="15" t="s">
        <v>32</v>
      </c>
      <c r="M24" s="14" t="s">
        <v>32</v>
      </c>
      <c r="N24" s="17" t="str">
        <f t="shared" si="0"/>
        <v>No</v>
      </c>
      <c r="O24" s="14" t="s">
        <v>30</v>
      </c>
      <c r="P24" s="14" t="s">
        <v>403</v>
      </c>
      <c r="Q24" s="15" t="s">
        <v>366</v>
      </c>
      <c r="R24" s="31">
        <v>46292</v>
      </c>
      <c r="S24" s="14" t="s">
        <v>404</v>
      </c>
    </row>
    <row r="25" spans="1:19" ht="114.75" customHeight="1" x14ac:dyDescent="0.25">
      <c r="A25" s="12" t="s">
        <v>166</v>
      </c>
      <c r="B25" s="12" t="s">
        <v>140</v>
      </c>
      <c r="C25" s="13" t="s">
        <v>66</v>
      </c>
      <c r="D25" s="14" t="s">
        <v>167</v>
      </c>
      <c r="E25" s="14" t="s">
        <v>168</v>
      </c>
      <c r="F25" s="15" t="s">
        <v>169</v>
      </c>
      <c r="G25" s="14" t="s">
        <v>170</v>
      </c>
      <c r="H25" s="14" t="s">
        <v>171</v>
      </c>
      <c r="I25" s="14" t="s">
        <v>172</v>
      </c>
      <c r="J25" s="14" t="s">
        <v>365</v>
      </c>
      <c r="K25" s="14" t="s">
        <v>34</v>
      </c>
      <c r="L25" s="15" t="s">
        <v>34</v>
      </c>
      <c r="M25" s="14" t="s">
        <v>34</v>
      </c>
      <c r="N25" s="17" t="str">
        <f t="shared" si="0"/>
        <v>Sí</v>
      </c>
      <c r="O25" s="14" t="s">
        <v>34</v>
      </c>
      <c r="P25" s="14"/>
      <c r="Q25" s="14"/>
      <c r="R25" s="15"/>
      <c r="S25" s="14"/>
    </row>
    <row r="26" spans="1:19" ht="66" x14ac:dyDescent="0.25">
      <c r="A26" s="12" t="s">
        <v>173</v>
      </c>
      <c r="B26" s="12" t="s">
        <v>140</v>
      </c>
      <c r="C26" s="19" t="s">
        <v>102</v>
      </c>
      <c r="D26" s="14" t="s">
        <v>174</v>
      </c>
      <c r="E26" s="14" t="s">
        <v>175</v>
      </c>
      <c r="F26" s="15" t="s">
        <v>176</v>
      </c>
      <c r="G26" s="14" t="s">
        <v>177</v>
      </c>
      <c r="H26" s="14" t="s">
        <v>107</v>
      </c>
      <c r="I26" s="14" t="s">
        <v>178</v>
      </c>
      <c r="J26" s="14" t="s">
        <v>107</v>
      </c>
      <c r="K26" s="14" t="s">
        <v>30</v>
      </c>
      <c r="L26" s="15" t="s">
        <v>30</v>
      </c>
      <c r="M26" s="14" t="s">
        <v>30</v>
      </c>
      <c r="N26" s="17" t="str">
        <f t="shared" si="0"/>
        <v>Sí</v>
      </c>
      <c r="O26" s="14" t="s">
        <v>30</v>
      </c>
      <c r="P26" s="14" t="s">
        <v>382</v>
      </c>
      <c r="Q26" s="15" t="s">
        <v>312</v>
      </c>
      <c r="R26" s="31">
        <v>46291</v>
      </c>
      <c r="S26" s="14" t="s">
        <v>383</v>
      </c>
    </row>
    <row r="27" spans="1:19" ht="66" x14ac:dyDescent="0.25">
      <c r="A27" s="12" t="s">
        <v>179</v>
      </c>
      <c r="B27" s="12" t="s">
        <v>140</v>
      </c>
      <c r="C27" s="19" t="s">
        <v>102</v>
      </c>
      <c r="D27" s="14" t="s">
        <v>180</v>
      </c>
      <c r="E27" s="14" t="s">
        <v>181</v>
      </c>
      <c r="F27" s="15" t="s">
        <v>182</v>
      </c>
      <c r="G27" s="14" t="s">
        <v>183</v>
      </c>
      <c r="H27" s="14" t="s">
        <v>107</v>
      </c>
      <c r="I27" s="14" t="s">
        <v>184</v>
      </c>
      <c r="J27" s="14" t="s">
        <v>107</v>
      </c>
      <c r="K27" s="14" t="s">
        <v>30</v>
      </c>
      <c r="L27" s="15" t="s">
        <v>30</v>
      </c>
      <c r="M27" s="14" t="s">
        <v>30</v>
      </c>
      <c r="N27" s="17" t="str">
        <f t="shared" si="0"/>
        <v>Sí</v>
      </c>
      <c r="O27" s="14" t="s">
        <v>30</v>
      </c>
      <c r="P27" s="14" t="s">
        <v>396</v>
      </c>
      <c r="Q27" s="15" t="s">
        <v>366</v>
      </c>
      <c r="R27" s="31">
        <v>46292</v>
      </c>
      <c r="S27" s="14" t="s">
        <v>385</v>
      </c>
    </row>
    <row r="28" spans="1:19" ht="92.4" x14ac:dyDescent="0.25">
      <c r="A28" s="12" t="s">
        <v>185</v>
      </c>
      <c r="B28" s="12" t="s">
        <v>140</v>
      </c>
      <c r="C28" s="19" t="s">
        <v>102</v>
      </c>
      <c r="D28" s="14" t="s">
        <v>186</v>
      </c>
      <c r="E28" s="14" t="s">
        <v>187</v>
      </c>
      <c r="F28" s="15" t="s">
        <v>188</v>
      </c>
      <c r="G28" s="14" t="s">
        <v>189</v>
      </c>
      <c r="H28" s="14" t="s">
        <v>107</v>
      </c>
      <c r="I28" s="14" t="s">
        <v>190</v>
      </c>
      <c r="J28" s="14" t="s">
        <v>107</v>
      </c>
      <c r="K28" s="14" t="s">
        <v>32</v>
      </c>
      <c r="L28" s="15" t="s">
        <v>32</v>
      </c>
      <c r="M28" s="14" t="s">
        <v>32</v>
      </c>
      <c r="N28" s="17" t="str">
        <f t="shared" si="0"/>
        <v>Sí</v>
      </c>
      <c r="O28" s="14" t="s">
        <v>32</v>
      </c>
      <c r="P28" s="14" t="s">
        <v>405</v>
      </c>
      <c r="Q28" s="15" t="s">
        <v>312</v>
      </c>
      <c r="R28" s="31">
        <v>46291</v>
      </c>
      <c r="S28" s="14"/>
    </row>
    <row r="29" spans="1:19" ht="79.2" x14ac:dyDescent="0.25">
      <c r="A29" s="12" t="s">
        <v>191</v>
      </c>
      <c r="B29" s="12" t="s">
        <v>140</v>
      </c>
      <c r="C29" s="19" t="s">
        <v>102</v>
      </c>
      <c r="D29" s="14" t="s">
        <v>192</v>
      </c>
      <c r="E29" s="14" t="s">
        <v>193</v>
      </c>
      <c r="F29" s="15" t="s">
        <v>194</v>
      </c>
      <c r="G29" s="14" t="s">
        <v>195</v>
      </c>
      <c r="H29" s="14" t="s">
        <v>107</v>
      </c>
      <c r="I29" s="14" t="s">
        <v>196</v>
      </c>
      <c r="J29" s="14" t="s">
        <v>107</v>
      </c>
      <c r="K29" s="14" t="s">
        <v>30</v>
      </c>
      <c r="L29" s="15" t="s">
        <v>30</v>
      </c>
      <c r="M29" s="14" t="s">
        <v>30</v>
      </c>
      <c r="N29" s="17" t="str">
        <f t="shared" si="0"/>
        <v>Sí</v>
      </c>
      <c r="O29" s="14" t="s">
        <v>30</v>
      </c>
      <c r="P29" s="14" t="s">
        <v>378</v>
      </c>
      <c r="Q29" s="15" t="s">
        <v>312</v>
      </c>
      <c r="R29" s="31">
        <v>46291</v>
      </c>
      <c r="S29" s="14" t="s">
        <v>384</v>
      </c>
    </row>
    <row r="30" spans="1:19" ht="66" x14ac:dyDescent="0.25">
      <c r="A30" s="12" t="s">
        <v>197</v>
      </c>
      <c r="B30" s="12" t="s">
        <v>140</v>
      </c>
      <c r="C30" s="19" t="s">
        <v>102</v>
      </c>
      <c r="D30" s="14" t="s">
        <v>198</v>
      </c>
      <c r="E30" s="14" t="s">
        <v>199</v>
      </c>
      <c r="F30" s="15" t="s">
        <v>169</v>
      </c>
      <c r="G30" s="14" t="s">
        <v>200</v>
      </c>
      <c r="H30" s="14" t="s">
        <v>107</v>
      </c>
      <c r="I30" s="14" t="s">
        <v>201</v>
      </c>
      <c r="J30" s="14" t="s">
        <v>365</v>
      </c>
      <c r="K30" s="14" t="s">
        <v>34</v>
      </c>
      <c r="L30" s="15" t="s">
        <v>34</v>
      </c>
      <c r="M30" s="14" t="s">
        <v>34</v>
      </c>
      <c r="N30" s="17" t="str">
        <f t="shared" si="0"/>
        <v>Sí</v>
      </c>
      <c r="O30" s="14" t="s">
        <v>34</v>
      </c>
      <c r="P30" s="14"/>
      <c r="Q30" s="14"/>
      <c r="R30" s="15"/>
      <c r="S30" s="14"/>
    </row>
    <row r="31" spans="1:19" ht="90" customHeight="1" x14ac:dyDescent="0.25">
      <c r="A31" s="12" t="s">
        <v>202</v>
      </c>
      <c r="B31" s="12" t="s">
        <v>140</v>
      </c>
      <c r="C31" s="20" t="s">
        <v>134</v>
      </c>
      <c r="D31" s="14" t="s">
        <v>339</v>
      </c>
      <c r="E31" s="14" t="s">
        <v>142</v>
      </c>
      <c r="F31" s="15" t="s">
        <v>346</v>
      </c>
      <c r="G31" s="14" t="s">
        <v>351</v>
      </c>
      <c r="H31" s="14" t="s">
        <v>356</v>
      </c>
      <c r="I31" s="14" t="s">
        <v>358</v>
      </c>
      <c r="J31" s="14" t="s">
        <v>107</v>
      </c>
      <c r="K31" s="14" t="s">
        <v>30</v>
      </c>
      <c r="L31" s="15" t="s">
        <v>30</v>
      </c>
      <c r="M31" s="14" t="s">
        <v>30</v>
      </c>
      <c r="N31" s="17" t="str">
        <f t="shared" si="0"/>
        <v>Sí</v>
      </c>
      <c r="O31" s="14" t="s">
        <v>30</v>
      </c>
      <c r="P31" s="14" t="s">
        <v>382</v>
      </c>
      <c r="Q31" s="15" t="s">
        <v>312</v>
      </c>
      <c r="R31" s="31">
        <v>46291</v>
      </c>
      <c r="S31" s="14" t="s">
        <v>383</v>
      </c>
    </row>
    <row r="32" spans="1:19" ht="83.4" customHeight="1" x14ac:dyDescent="0.25">
      <c r="A32" s="12" t="s">
        <v>203</v>
      </c>
      <c r="B32" s="12" t="s">
        <v>140</v>
      </c>
      <c r="C32" s="20" t="s">
        <v>134</v>
      </c>
      <c r="D32" s="14" t="s">
        <v>340</v>
      </c>
      <c r="E32" s="14" t="s">
        <v>344</v>
      </c>
      <c r="F32" s="15" t="s">
        <v>347</v>
      </c>
      <c r="G32" s="14" t="s">
        <v>352</v>
      </c>
      <c r="H32" s="14" t="s">
        <v>356</v>
      </c>
      <c r="I32" s="14" t="s">
        <v>359</v>
      </c>
      <c r="J32" s="14" t="s">
        <v>107</v>
      </c>
      <c r="K32" s="14" t="s">
        <v>32</v>
      </c>
      <c r="L32" s="15" t="s">
        <v>32</v>
      </c>
      <c r="M32" s="14" t="s">
        <v>32</v>
      </c>
      <c r="N32" s="17" t="str">
        <f t="shared" si="0"/>
        <v>Sí</v>
      </c>
      <c r="O32" s="14" t="s">
        <v>32</v>
      </c>
      <c r="P32" s="14" t="s">
        <v>405</v>
      </c>
      <c r="Q32" s="15" t="s">
        <v>312</v>
      </c>
      <c r="R32" s="31">
        <v>46291</v>
      </c>
      <c r="S32" s="14"/>
    </row>
    <row r="33" spans="1:19" ht="80.400000000000006" customHeight="1" x14ac:dyDescent="0.25">
      <c r="A33" s="12" t="s">
        <v>204</v>
      </c>
      <c r="B33" s="12" t="s">
        <v>140</v>
      </c>
      <c r="C33" s="20" t="s">
        <v>134</v>
      </c>
      <c r="D33" s="14" t="s">
        <v>341</v>
      </c>
      <c r="E33" s="14" t="s">
        <v>241</v>
      </c>
      <c r="F33" s="15" t="s">
        <v>348</v>
      </c>
      <c r="G33" s="14" t="s">
        <v>353</v>
      </c>
      <c r="H33" s="14" t="s">
        <v>356</v>
      </c>
      <c r="I33" s="14" t="s">
        <v>360</v>
      </c>
      <c r="J33" s="14" t="s">
        <v>107</v>
      </c>
      <c r="K33" s="14" t="s">
        <v>30</v>
      </c>
      <c r="L33" s="15" t="s">
        <v>30</v>
      </c>
      <c r="M33" s="14" t="s">
        <v>30</v>
      </c>
      <c r="N33" s="17" t="str">
        <f t="shared" si="0"/>
        <v>Sí</v>
      </c>
      <c r="O33" s="14" t="s">
        <v>30</v>
      </c>
      <c r="P33" s="14" t="s">
        <v>396</v>
      </c>
      <c r="Q33" s="15" t="s">
        <v>366</v>
      </c>
      <c r="R33" s="31">
        <v>46292</v>
      </c>
      <c r="S33" s="14" t="s">
        <v>385</v>
      </c>
    </row>
    <row r="34" spans="1:19" ht="81.599999999999994" customHeight="1" x14ac:dyDescent="0.25">
      <c r="A34" s="12" t="s">
        <v>205</v>
      </c>
      <c r="B34" s="12" t="s">
        <v>140</v>
      </c>
      <c r="C34" s="20" t="s">
        <v>134</v>
      </c>
      <c r="D34" s="14" t="s">
        <v>342</v>
      </c>
      <c r="E34" s="14" t="s">
        <v>345</v>
      </c>
      <c r="F34" s="15" t="s">
        <v>349</v>
      </c>
      <c r="G34" s="14" t="s">
        <v>354</v>
      </c>
      <c r="H34" s="14" t="s">
        <v>356</v>
      </c>
      <c r="I34" s="14" t="s">
        <v>361</v>
      </c>
      <c r="J34" s="14" t="s">
        <v>107</v>
      </c>
      <c r="K34" s="14" t="s">
        <v>30</v>
      </c>
      <c r="L34" s="15" t="s">
        <v>30</v>
      </c>
      <c r="M34" s="14" t="s">
        <v>30</v>
      </c>
      <c r="N34" s="17" t="str">
        <f t="shared" si="0"/>
        <v>Sí</v>
      </c>
      <c r="O34" s="14" t="s">
        <v>30</v>
      </c>
      <c r="P34" s="14" t="s">
        <v>386</v>
      </c>
      <c r="Q34" s="15" t="s">
        <v>312</v>
      </c>
      <c r="R34" s="31">
        <v>46291</v>
      </c>
      <c r="S34" s="14" t="s">
        <v>387</v>
      </c>
    </row>
    <row r="35" spans="1:19" ht="93.6" customHeight="1" x14ac:dyDescent="0.25">
      <c r="A35" s="12" t="s">
        <v>206</v>
      </c>
      <c r="B35" s="12" t="s">
        <v>140</v>
      </c>
      <c r="C35" s="20" t="s">
        <v>134</v>
      </c>
      <c r="D35" s="14" t="s">
        <v>343</v>
      </c>
      <c r="E35" s="14" t="s">
        <v>318</v>
      </c>
      <c r="F35" s="15" t="s">
        <v>350</v>
      </c>
      <c r="G35" s="14" t="s">
        <v>355</v>
      </c>
      <c r="H35" s="14" t="s">
        <v>357</v>
      </c>
      <c r="I35" s="14" t="s">
        <v>362</v>
      </c>
      <c r="J35" s="14" t="s">
        <v>107</v>
      </c>
      <c r="K35" s="14" t="s">
        <v>30</v>
      </c>
      <c r="L35" s="15" t="s">
        <v>30</v>
      </c>
      <c r="M35" s="14" t="s">
        <v>30</v>
      </c>
      <c r="N35" s="17" t="str">
        <f t="shared" si="0"/>
        <v>Sí</v>
      </c>
      <c r="O35" s="14" t="s">
        <v>30</v>
      </c>
      <c r="P35" s="14" t="s">
        <v>388</v>
      </c>
      <c r="Q35" s="15" t="s">
        <v>366</v>
      </c>
      <c r="R35" s="31">
        <v>46292</v>
      </c>
      <c r="S35" s="14" t="s">
        <v>389</v>
      </c>
    </row>
    <row r="36" spans="1:19" ht="184.8" x14ac:dyDescent="0.25">
      <c r="A36" s="12" t="s">
        <v>207</v>
      </c>
      <c r="B36" s="12" t="s">
        <v>208</v>
      </c>
      <c r="C36" s="13" t="s">
        <v>66</v>
      </c>
      <c r="D36" s="21" t="s">
        <v>209</v>
      </c>
      <c r="E36" s="14" t="s">
        <v>210</v>
      </c>
      <c r="F36" s="15" t="s">
        <v>211</v>
      </c>
      <c r="G36" s="14" t="s">
        <v>212</v>
      </c>
      <c r="H36" s="14" t="s">
        <v>213</v>
      </c>
      <c r="I36" s="21" t="s">
        <v>214</v>
      </c>
      <c r="J36" s="21" t="s">
        <v>365</v>
      </c>
      <c r="K36" s="21" t="s">
        <v>30</v>
      </c>
      <c r="L36" s="15" t="s">
        <v>30</v>
      </c>
      <c r="M36" s="14" t="s">
        <v>34</v>
      </c>
      <c r="N36" s="17" t="str">
        <f t="shared" si="0"/>
        <v>No</v>
      </c>
      <c r="O36" s="21" t="s">
        <v>30</v>
      </c>
      <c r="P36" s="14" t="s">
        <v>398</v>
      </c>
      <c r="Q36" s="15" t="s">
        <v>367</v>
      </c>
      <c r="R36" s="31">
        <v>46291</v>
      </c>
      <c r="S36" s="14" t="s">
        <v>399</v>
      </c>
    </row>
    <row r="37" spans="1:19" ht="72" x14ac:dyDescent="0.25">
      <c r="A37" s="12" t="s">
        <v>215</v>
      </c>
      <c r="B37" s="12" t="s">
        <v>208</v>
      </c>
      <c r="C37" s="13" t="s">
        <v>66</v>
      </c>
      <c r="D37" s="21" t="s">
        <v>216</v>
      </c>
      <c r="E37" s="14" t="s">
        <v>217</v>
      </c>
      <c r="F37" s="15" t="s">
        <v>211</v>
      </c>
      <c r="G37" s="14" t="s">
        <v>218</v>
      </c>
      <c r="H37" s="14" t="s">
        <v>219</v>
      </c>
      <c r="I37" s="21" t="s">
        <v>220</v>
      </c>
      <c r="J37" s="21" t="s">
        <v>365</v>
      </c>
      <c r="K37" s="21" t="s">
        <v>30</v>
      </c>
      <c r="L37" s="15" t="s">
        <v>30</v>
      </c>
      <c r="M37" s="14" t="s">
        <v>30</v>
      </c>
      <c r="N37" s="17" t="str">
        <f t="shared" si="0"/>
        <v>Sí</v>
      </c>
      <c r="O37" s="21" t="s">
        <v>30</v>
      </c>
      <c r="P37" s="14" t="s">
        <v>396</v>
      </c>
      <c r="Q37" s="15" t="s">
        <v>366</v>
      </c>
      <c r="R37" s="31">
        <v>46292</v>
      </c>
      <c r="S37" s="14" t="s">
        <v>385</v>
      </c>
    </row>
    <row r="38" spans="1:19" ht="30" customHeight="1" x14ac:dyDescent="0.25">
      <c r="A38" s="12" t="s">
        <v>221</v>
      </c>
      <c r="B38" s="12" t="s">
        <v>208</v>
      </c>
      <c r="C38" s="13" t="s">
        <v>66</v>
      </c>
      <c r="D38" s="16"/>
      <c r="E38" s="16"/>
      <c r="F38" s="16"/>
      <c r="G38" s="16"/>
      <c r="H38" s="16"/>
      <c r="I38" s="16"/>
      <c r="J38" s="21"/>
      <c r="K38" s="21"/>
      <c r="L38" s="15"/>
      <c r="M38" s="21"/>
      <c r="N38" s="17" t="str">
        <f t="shared" si="0"/>
        <v/>
      </c>
      <c r="O38" s="16"/>
      <c r="P38" s="16"/>
      <c r="Q38" s="16"/>
      <c r="R38" s="16"/>
      <c r="S38" s="16"/>
    </row>
    <row r="39" spans="1:19" ht="30" customHeight="1" x14ac:dyDescent="0.25">
      <c r="A39" s="12" t="s">
        <v>222</v>
      </c>
      <c r="B39" s="12" t="s">
        <v>208</v>
      </c>
      <c r="C39" s="13" t="s">
        <v>66</v>
      </c>
      <c r="D39" s="16"/>
      <c r="E39" s="16"/>
      <c r="F39" s="16"/>
      <c r="G39" s="16"/>
      <c r="H39" s="16"/>
      <c r="I39" s="16"/>
      <c r="J39" s="21"/>
      <c r="K39" s="21"/>
      <c r="L39" s="15"/>
      <c r="M39" s="21"/>
      <c r="N39" s="17" t="str">
        <f t="shared" si="0"/>
        <v/>
      </c>
      <c r="O39" s="16"/>
      <c r="P39" s="16"/>
      <c r="Q39" s="16"/>
      <c r="R39" s="16"/>
      <c r="S39" s="16"/>
    </row>
    <row r="40" spans="1:19" ht="30" customHeight="1" x14ac:dyDescent="0.25">
      <c r="A40" s="12" t="s">
        <v>223</v>
      </c>
      <c r="B40" s="12" t="s">
        <v>208</v>
      </c>
      <c r="C40" s="13" t="s">
        <v>66</v>
      </c>
      <c r="D40" s="16"/>
      <c r="E40" s="16"/>
      <c r="F40" s="16"/>
      <c r="G40" s="16"/>
      <c r="H40" s="16"/>
      <c r="I40" s="16"/>
      <c r="J40" s="14"/>
      <c r="K40" s="14"/>
      <c r="L40" s="15"/>
      <c r="M40" s="14"/>
      <c r="N40" s="17" t="str">
        <f t="shared" si="0"/>
        <v/>
      </c>
      <c r="O40" s="16"/>
      <c r="P40" s="16"/>
      <c r="Q40" s="16"/>
      <c r="R40" s="16"/>
      <c r="S40" s="16"/>
    </row>
    <row r="41" spans="1:19" ht="110.4" x14ac:dyDescent="0.25">
      <c r="A41" s="12" t="s">
        <v>224</v>
      </c>
      <c r="B41" s="12" t="s">
        <v>208</v>
      </c>
      <c r="C41" s="19" t="s">
        <v>102</v>
      </c>
      <c r="D41" s="14" t="s">
        <v>234</v>
      </c>
      <c r="E41" s="14" t="s">
        <v>235</v>
      </c>
      <c r="F41" s="15" t="s">
        <v>236</v>
      </c>
      <c r="G41" s="14" t="s">
        <v>237</v>
      </c>
      <c r="H41" s="14" t="s">
        <v>238</v>
      </c>
      <c r="I41" s="14" t="s">
        <v>239</v>
      </c>
      <c r="J41" s="14" t="s">
        <v>107</v>
      </c>
      <c r="K41" s="14" t="s">
        <v>30</v>
      </c>
      <c r="L41" s="15" t="s">
        <v>30</v>
      </c>
      <c r="M41" s="14" t="s">
        <v>30</v>
      </c>
      <c r="N41" s="17" t="str">
        <f t="shared" ref="N41:N50" si="1">IF(COUNTA(K41:M41)&lt;2,"",IF(SUMPRODUCT((K41:M41&lt;&gt;"")/COUNTIF(K41:M41,K41:M41&amp;""))=1,"Sí","No"))</f>
        <v>Sí</v>
      </c>
      <c r="O41" s="14" t="s">
        <v>30</v>
      </c>
      <c r="P41" s="14" t="s">
        <v>390</v>
      </c>
      <c r="Q41" s="15" t="s">
        <v>367</v>
      </c>
      <c r="R41" s="31">
        <v>46291</v>
      </c>
      <c r="S41" s="14" t="s">
        <v>391</v>
      </c>
    </row>
    <row r="42" spans="1:19" ht="66" x14ac:dyDescent="0.25">
      <c r="A42" s="12" t="s">
        <v>225</v>
      </c>
      <c r="B42" s="12" t="s">
        <v>208</v>
      </c>
      <c r="C42" s="19" t="s">
        <v>102</v>
      </c>
      <c r="D42" s="14" t="s">
        <v>240</v>
      </c>
      <c r="E42" s="14" t="s">
        <v>241</v>
      </c>
      <c r="F42" s="15" t="s">
        <v>242</v>
      </c>
      <c r="G42" s="14" t="s">
        <v>243</v>
      </c>
      <c r="H42" s="14" t="s">
        <v>244</v>
      </c>
      <c r="I42" s="14" t="s">
        <v>245</v>
      </c>
      <c r="J42" s="14" t="s">
        <v>107</v>
      </c>
      <c r="K42" s="14" t="s">
        <v>30</v>
      </c>
      <c r="L42" s="15" t="s">
        <v>30</v>
      </c>
      <c r="M42" s="14" t="s">
        <v>30</v>
      </c>
      <c r="N42" s="17" t="str">
        <f t="shared" si="1"/>
        <v>Sí</v>
      </c>
      <c r="O42" s="14" t="s">
        <v>30</v>
      </c>
      <c r="P42" s="14" t="s">
        <v>396</v>
      </c>
      <c r="Q42" s="15" t="s">
        <v>366</v>
      </c>
      <c r="R42" s="31">
        <v>46292</v>
      </c>
      <c r="S42" s="14" t="s">
        <v>385</v>
      </c>
    </row>
    <row r="43" spans="1:19" ht="139.19999999999999" x14ac:dyDescent="0.25">
      <c r="A43" s="12" t="s">
        <v>226</v>
      </c>
      <c r="B43" s="12" t="s">
        <v>208</v>
      </c>
      <c r="C43" s="19" t="s">
        <v>102</v>
      </c>
      <c r="D43" s="14" t="s">
        <v>246</v>
      </c>
      <c r="E43" s="14" t="s">
        <v>247</v>
      </c>
      <c r="F43" s="15" t="s">
        <v>248</v>
      </c>
      <c r="G43" s="14" t="s">
        <v>249</v>
      </c>
      <c r="H43" s="14" t="s">
        <v>250</v>
      </c>
      <c r="I43" s="14" t="s">
        <v>251</v>
      </c>
      <c r="J43" s="14" t="s">
        <v>107</v>
      </c>
      <c r="K43" s="14" t="s">
        <v>30</v>
      </c>
      <c r="L43" s="15" t="s">
        <v>30</v>
      </c>
      <c r="M43" s="14" t="s">
        <v>30</v>
      </c>
      <c r="N43" s="17" t="str">
        <f t="shared" si="1"/>
        <v>Sí</v>
      </c>
      <c r="O43" s="14" t="s">
        <v>30</v>
      </c>
      <c r="P43" s="14" t="s">
        <v>397</v>
      </c>
      <c r="Q43" s="15" t="s">
        <v>367</v>
      </c>
      <c r="R43" s="31">
        <v>46291</v>
      </c>
      <c r="S43" s="14" t="s">
        <v>400</v>
      </c>
    </row>
    <row r="44" spans="1:19" ht="30" customHeight="1" x14ac:dyDescent="0.25">
      <c r="A44" s="12" t="s">
        <v>227</v>
      </c>
      <c r="B44" s="12" t="s">
        <v>208</v>
      </c>
      <c r="C44" s="19" t="s">
        <v>102</v>
      </c>
      <c r="D44" s="16"/>
      <c r="E44" s="16"/>
      <c r="F44" s="16"/>
      <c r="G44" s="16"/>
      <c r="H44" s="16"/>
      <c r="I44" s="16"/>
      <c r="J44" s="14"/>
      <c r="K44" s="14"/>
      <c r="L44" s="15"/>
      <c r="M44" s="14"/>
      <c r="N44" s="17" t="str">
        <f t="shared" si="1"/>
        <v/>
      </c>
      <c r="O44" s="16"/>
      <c r="P44" s="16"/>
      <c r="Q44" s="16"/>
      <c r="R44" s="18"/>
      <c r="S44" s="16"/>
    </row>
    <row r="45" spans="1:19" ht="30" customHeight="1" x14ac:dyDescent="0.25">
      <c r="A45" s="12" t="s">
        <v>228</v>
      </c>
      <c r="B45" s="12" t="s">
        <v>208</v>
      </c>
      <c r="C45" s="19" t="s">
        <v>102</v>
      </c>
      <c r="D45" s="16"/>
      <c r="E45" s="16"/>
      <c r="F45" s="16"/>
      <c r="G45" s="16"/>
      <c r="H45" s="16"/>
      <c r="I45" s="16"/>
      <c r="J45" s="14"/>
      <c r="K45" s="14"/>
      <c r="L45" s="15"/>
      <c r="M45" s="14"/>
      <c r="N45" s="17" t="str">
        <f t="shared" si="1"/>
        <v/>
      </c>
      <c r="O45" s="16"/>
      <c r="P45" s="16"/>
      <c r="Q45" s="16"/>
      <c r="R45" s="18"/>
      <c r="S45" s="16"/>
    </row>
    <row r="46" spans="1:19" ht="152.4" x14ac:dyDescent="0.25">
      <c r="A46" s="12" t="s">
        <v>229</v>
      </c>
      <c r="B46" s="12" t="s">
        <v>208</v>
      </c>
      <c r="C46" s="20" t="s">
        <v>134</v>
      </c>
      <c r="D46" s="14" t="s">
        <v>252</v>
      </c>
      <c r="E46" s="14" t="s">
        <v>253</v>
      </c>
      <c r="F46" s="15" t="s">
        <v>254</v>
      </c>
      <c r="G46" s="14" t="s">
        <v>255</v>
      </c>
      <c r="H46" s="14" t="s">
        <v>256</v>
      </c>
      <c r="I46" s="14" t="s">
        <v>257</v>
      </c>
      <c r="J46" s="14" t="s">
        <v>107</v>
      </c>
      <c r="K46" s="14" t="s">
        <v>30</v>
      </c>
      <c r="L46" s="15" t="s">
        <v>30</v>
      </c>
      <c r="M46" s="14" t="s">
        <v>30</v>
      </c>
      <c r="N46" s="17" t="str">
        <f t="shared" si="1"/>
        <v>Sí</v>
      </c>
      <c r="O46" s="14" t="s">
        <v>30</v>
      </c>
      <c r="P46" s="14" t="s">
        <v>392</v>
      </c>
      <c r="Q46" s="15" t="s">
        <v>367</v>
      </c>
      <c r="R46" s="31">
        <v>46291</v>
      </c>
      <c r="S46" s="14" t="s">
        <v>393</v>
      </c>
    </row>
    <row r="47" spans="1:19" ht="124.8" x14ac:dyDescent="0.25">
      <c r="A47" s="12" t="s">
        <v>230</v>
      </c>
      <c r="B47" s="12" t="s">
        <v>208</v>
      </c>
      <c r="C47" s="20" t="s">
        <v>134</v>
      </c>
      <c r="D47" s="14" t="s">
        <v>258</v>
      </c>
      <c r="E47" s="14" t="s">
        <v>259</v>
      </c>
      <c r="F47" s="15" t="s">
        <v>260</v>
      </c>
      <c r="G47" s="14" t="s">
        <v>261</v>
      </c>
      <c r="H47" s="14" t="s">
        <v>256</v>
      </c>
      <c r="I47" s="14" t="s">
        <v>262</v>
      </c>
      <c r="J47" s="14" t="s">
        <v>107</v>
      </c>
      <c r="K47" s="14" t="s">
        <v>30</v>
      </c>
      <c r="L47" s="15" t="s">
        <v>30</v>
      </c>
      <c r="M47" s="14" t="s">
        <v>30</v>
      </c>
      <c r="N47" s="17" t="str">
        <f t="shared" si="1"/>
        <v>Sí</v>
      </c>
      <c r="O47" s="14" t="s">
        <v>30</v>
      </c>
      <c r="P47" s="14" t="s">
        <v>394</v>
      </c>
      <c r="Q47" s="15" t="s">
        <v>366</v>
      </c>
      <c r="R47" s="31">
        <v>46292</v>
      </c>
      <c r="S47" s="14" t="s">
        <v>395</v>
      </c>
    </row>
    <row r="48" spans="1:19" ht="30" customHeight="1" x14ac:dyDescent="0.25">
      <c r="A48" s="12" t="s">
        <v>231</v>
      </c>
      <c r="B48" s="12" t="s">
        <v>208</v>
      </c>
      <c r="C48" s="20" t="s">
        <v>134</v>
      </c>
      <c r="D48" s="16"/>
      <c r="E48" s="16"/>
      <c r="F48" s="16"/>
      <c r="G48" s="16"/>
      <c r="H48" s="16"/>
      <c r="I48" s="16"/>
      <c r="J48" s="14"/>
      <c r="K48" s="14"/>
      <c r="L48" s="15"/>
      <c r="M48" s="14"/>
      <c r="N48" s="17" t="str">
        <f t="shared" si="1"/>
        <v/>
      </c>
      <c r="O48" s="16"/>
      <c r="P48" s="16"/>
      <c r="Q48" s="16"/>
      <c r="R48" s="18"/>
      <c r="S48" s="16"/>
    </row>
    <row r="49" spans="1:19" ht="30" customHeight="1" x14ac:dyDescent="0.25">
      <c r="A49" s="12" t="s">
        <v>232</v>
      </c>
      <c r="B49" s="12" t="s">
        <v>208</v>
      </c>
      <c r="C49" s="20" t="s">
        <v>134</v>
      </c>
      <c r="D49" s="16"/>
      <c r="E49" s="16"/>
      <c r="F49" s="16"/>
      <c r="G49" s="16"/>
      <c r="H49" s="16"/>
      <c r="I49" s="16"/>
      <c r="J49" s="14"/>
      <c r="K49" s="14"/>
      <c r="L49" s="15"/>
      <c r="M49" s="14"/>
      <c r="N49" s="17" t="str">
        <f t="shared" si="1"/>
        <v/>
      </c>
      <c r="O49" s="16"/>
      <c r="P49" s="16"/>
      <c r="Q49" s="16"/>
      <c r="R49" s="18"/>
      <c r="S49" s="16"/>
    </row>
    <row r="50" spans="1:19" ht="30" customHeight="1" x14ac:dyDescent="0.25">
      <c r="A50" s="12" t="s">
        <v>233</v>
      </c>
      <c r="B50" s="12" t="s">
        <v>208</v>
      </c>
      <c r="C50" s="20" t="s">
        <v>134</v>
      </c>
      <c r="D50" s="16"/>
      <c r="E50" s="16"/>
      <c r="F50" s="16"/>
      <c r="G50" s="16"/>
      <c r="H50" s="16"/>
      <c r="I50" s="16"/>
      <c r="J50" s="14"/>
      <c r="K50" s="14"/>
      <c r="L50" s="15"/>
      <c r="M50" s="14"/>
      <c r="N50" s="17" t="str">
        <f t="shared" si="1"/>
        <v/>
      </c>
      <c r="O50" s="16"/>
      <c r="P50" s="16"/>
      <c r="Q50" s="16"/>
      <c r="R50" s="18"/>
      <c r="S50" s="16"/>
    </row>
    <row r="53" spans="1:19" ht="14.4" x14ac:dyDescent="0.3">
      <c r="A53"/>
      <c r="B53"/>
      <c r="C53"/>
      <c r="D53"/>
      <c r="E53"/>
      <c r="F53"/>
      <c r="G53"/>
      <c r="H53"/>
      <c r="I53"/>
      <c r="J53"/>
      <c r="K53"/>
      <c r="L53"/>
      <c r="M53"/>
      <c r="N53"/>
      <c r="O53"/>
      <c r="P53"/>
      <c r="Q53"/>
      <c r="R53"/>
    </row>
    <row r="54" spans="1:19" ht="14.4" x14ac:dyDescent="0.3">
      <c r="A54"/>
      <c r="B54"/>
      <c r="C54"/>
      <c r="D54"/>
      <c r="E54"/>
      <c r="F54"/>
      <c r="G54"/>
      <c r="H54"/>
      <c r="I54"/>
      <c r="J54"/>
      <c r="K54"/>
      <c r="L54"/>
      <c r="M54"/>
      <c r="N54"/>
      <c r="O54"/>
      <c r="P54"/>
      <c r="Q54"/>
      <c r="R54"/>
    </row>
    <row r="55" spans="1:19" ht="14.4" x14ac:dyDescent="0.3">
      <c r="A55"/>
      <c r="B55"/>
      <c r="C55"/>
      <c r="D55"/>
      <c r="E55"/>
      <c r="F55"/>
      <c r="G55"/>
      <c r="H55"/>
      <c r="I55"/>
      <c r="J55"/>
      <c r="K55"/>
      <c r="L55"/>
      <c r="M55"/>
      <c r="N55"/>
      <c r="O55"/>
      <c r="P55"/>
      <c r="Q55"/>
      <c r="R55"/>
    </row>
    <row r="56" spans="1:19" ht="14.4" x14ac:dyDescent="0.3">
      <c r="A56"/>
      <c r="B56"/>
      <c r="C56"/>
      <c r="D56"/>
      <c r="E56"/>
      <c r="F56"/>
      <c r="G56"/>
      <c r="H56"/>
      <c r="I56"/>
      <c r="J56"/>
      <c r="K56"/>
      <c r="L56"/>
      <c r="M56"/>
      <c r="N56"/>
      <c r="O56"/>
      <c r="P56"/>
      <c r="Q56"/>
      <c r="R56"/>
    </row>
    <row r="57" spans="1:19" ht="14.4" x14ac:dyDescent="0.3">
      <c r="A57"/>
      <c r="B57"/>
      <c r="C57"/>
      <c r="D57"/>
      <c r="E57"/>
      <c r="F57"/>
      <c r="G57"/>
      <c r="H57"/>
      <c r="I57"/>
      <c r="J57"/>
      <c r="K57"/>
      <c r="L57"/>
      <c r="M57"/>
      <c r="N57"/>
      <c r="O57"/>
      <c r="P57"/>
      <c r="Q57"/>
      <c r="R57"/>
    </row>
    <row r="58" spans="1:19" ht="14.4" x14ac:dyDescent="0.3">
      <c r="A58"/>
      <c r="B58"/>
      <c r="C58"/>
      <c r="D58"/>
      <c r="E58"/>
      <c r="F58"/>
      <c r="G58"/>
      <c r="H58"/>
      <c r="I58"/>
      <c r="J58"/>
      <c r="K58"/>
      <c r="L58"/>
      <c r="M58"/>
      <c r="N58"/>
      <c r="O58"/>
      <c r="P58"/>
      <c r="Q58"/>
      <c r="R58"/>
    </row>
    <row r="59" spans="1:19" ht="14.4" x14ac:dyDescent="0.3">
      <c r="A59"/>
      <c r="B59"/>
      <c r="C59"/>
      <c r="D59"/>
      <c r="E59"/>
      <c r="F59"/>
      <c r="G59"/>
      <c r="H59"/>
      <c r="I59"/>
      <c r="J59"/>
      <c r="K59"/>
      <c r="L59"/>
      <c r="M59"/>
      <c r="N59"/>
      <c r="O59"/>
      <c r="P59"/>
      <c r="Q59"/>
      <c r="R59"/>
    </row>
  </sheetData>
  <autoFilter ref="A5:R50" xr:uid="{00000000-0001-0000-0100-000000000000}"/>
  <conditionalFormatting sqref="N6:N50">
    <cfRule type="cellIs" dxfId="0" priority="2" operator="equal">
      <formula>"No"</formula>
    </cfRule>
  </conditionalFormatting>
  <dataValidations count="2">
    <dataValidation type="list" allowBlank="1" errorTitle="Categoría no válida" error="Elige una de las tres categorías." sqref="K6:M10 O6:O10 K40:M50 O38:O50" xr:uid="{00000000-0002-0000-0100-000000000000}">
      <formula1>"Utilizable,Existe pero no dice eso,No existe"</formula1>
      <formula2>0</formula2>
    </dataValidation>
    <dataValidation type="list" allowBlank="1" sqref="J6:J10 J40:J50" xr:uid="{00000000-0002-0000-0100-000001000000}">
      <formula1>"Sí,No"</formula1>
      <formula2>0</formula2>
    </dataValidation>
  </dataValidations>
  <hyperlinks>
    <hyperlink ref="F11" r:id="rId1" xr:uid="{00000000-0004-0000-0100-000000000000}"/>
    <hyperlink ref="F12" r:id="rId2" display="https://www.google.com/search?q=https://doi.org/10.1080/00221546.2007.11772076&amp;utm_source=gemini" xr:uid="{00000000-0004-0000-0100-000001000000}"/>
    <hyperlink ref="F13" r:id="rId3" xr:uid="{00000000-0004-0000-0100-000002000000}"/>
    <hyperlink ref="F14" r:id="rId4" xr:uid="{00000000-0004-0000-0100-000003000000}"/>
    <hyperlink ref="F15" r:id="rId5" xr:uid="{00000000-0004-0000-0100-000004000000}"/>
    <hyperlink ref="F21" r:id="rId6" xr:uid="{00000000-0004-0000-0100-000005000000}"/>
    <hyperlink ref="F22" r:id="rId7" xr:uid="{00000000-0004-0000-0100-000006000000}"/>
    <hyperlink ref="F23" r:id="rId8" xr:uid="{00000000-0004-0000-0100-000007000000}"/>
    <hyperlink ref="F24" r:id="rId9" xr:uid="{00000000-0004-0000-0100-000008000000}"/>
    <hyperlink ref="F25" r:id="rId10" xr:uid="{00000000-0004-0000-0100-000009000000}"/>
    <hyperlink ref="F26" r:id="rId11" xr:uid="{00000000-0004-0000-0100-00000A000000}"/>
    <hyperlink ref="F27" r:id="rId12" xr:uid="{00000000-0004-0000-0100-00000B000000}"/>
    <hyperlink ref="F28" r:id="rId13" xr:uid="{00000000-0004-0000-0100-00000C000000}"/>
    <hyperlink ref="F29" r:id="rId14" xr:uid="{00000000-0004-0000-0100-00000D000000}"/>
    <hyperlink ref="F30" r:id="rId15" xr:uid="{00000000-0004-0000-0100-00000E000000}"/>
    <hyperlink ref="F41" r:id="rId16" xr:uid="{56A961FF-BA20-4B34-818A-ED6C3F4780D8}"/>
    <hyperlink ref="F42" r:id="rId17" xr:uid="{C1E5BA8A-EBCD-490A-B716-9D3FC35CBBF3}"/>
    <hyperlink ref="F43" r:id="rId18" xr:uid="{12B8040D-11B3-47DD-9E12-3FB449A40621}"/>
    <hyperlink ref="F46" r:id="rId19" xr:uid="{D2C20503-63EB-46FA-8C86-5988634C94B2}"/>
    <hyperlink ref="F47" r:id="rId20" xr:uid="{85E4B2A4-523C-47B4-A42E-0EC539B879EB}"/>
  </hyperlinks>
  <pageMargins left="0.75" right="0.75" top="1" bottom="1" header="0.511811023622047" footer="0.511811023622047"/>
  <pageSetup paperSize="9" orientation="portrait" horizontalDpi="300" verticalDpi="300"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0"/>
  <sheetViews>
    <sheetView zoomScale="88" zoomScaleNormal="88" workbookViewId="0">
      <selection activeCell="A11" sqref="A11"/>
    </sheetView>
  </sheetViews>
  <sheetFormatPr baseColWidth="10" defaultColWidth="8.6640625" defaultRowHeight="14.4" x14ac:dyDescent="0.3"/>
  <cols>
    <col min="1" max="1" width="17.88671875" customWidth="1"/>
    <col min="2" max="2" width="44" customWidth="1"/>
    <col min="3" max="4" width="14" customWidth="1"/>
    <col min="5" max="5" width="18" customWidth="1"/>
    <col min="6" max="6" width="14" customWidth="1"/>
    <col min="7" max="7" width="12" customWidth="1"/>
    <col min="8" max="8" width="16" customWidth="1"/>
    <col min="9" max="10" width="14" customWidth="1"/>
    <col min="11" max="12" width="18" customWidth="1"/>
  </cols>
  <sheetData>
    <row r="1" spans="1:12" ht="17.399999999999999" x14ac:dyDescent="0.3">
      <c r="A1" s="1" t="s">
        <v>263</v>
      </c>
    </row>
    <row r="3" spans="1:12" x14ac:dyDescent="0.3">
      <c r="A3" s="5" t="s">
        <v>264</v>
      </c>
      <c r="B3" s="22">
        <v>0.95</v>
      </c>
      <c r="C3" s="2" t="s">
        <v>265</v>
      </c>
    </row>
    <row r="4" spans="1:12" x14ac:dyDescent="0.3">
      <c r="A4" s="5" t="s">
        <v>266</v>
      </c>
      <c r="B4" s="23">
        <f>1-B3</f>
        <v>5.0000000000000044E-2</v>
      </c>
    </row>
    <row r="5" spans="1:12" x14ac:dyDescent="0.3">
      <c r="A5" s="5" t="s">
        <v>267</v>
      </c>
      <c r="B5" s="23">
        <f>NORMSINV(1-B4/2)</f>
        <v>1.9599639845400536</v>
      </c>
    </row>
    <row r="8" spans="1:12" ht="36" customHeight="1" x14ac:dyDescent="0.3">
      <c r="A8" s="24" t="s">
        <v>268</v>
      </c>
      <c r="B8" s="24" t="s">
        <v>269</v>
      </c>
      <c r="C8" s="24" t="s">
        <v>270</v>
      </c>
      <c r="D8" s="24" t="s">
        <v>30</v>
      </c>
      <c r="E8" s="24" t="s">
        <v>32</v>
      </c>
      <c r="F8" s="24" t="s">
        <v>34</v>
      </c>
      <c r="G8" s="24" t="s">
        <v>271</v>
      </c>
      <c r="H8" s="24" t="s">
        <v>272</v>
      </c>
      <c r="I8" s="24" t="s">
        <v>273</v>
      </c>
      <c r="J8" s="24" t="s">
        <v>274</v>
      </c>
      <c r="K8" s="24" t="s">
        <v>275</v>
      </c>
      <c r="L8" s="24" t="s">
        <v>276</v>
      </c>
    </row>
    <row r="9" spans="1:12" x14ac:dyDescent="0.3">
      <c r="A9" s="25" t="s">
        <v>65</v>
      </c>
      <c r="B9" s="26" t="s">
        <v>277</v>
      </c>
      <c r="C9" s="27">
        <f>COUNTIFS(Referencias!$B$6:$B$50,$A9,Referencias!$O$6:$O$50,"&lt;&gt;")</f>
        <v>15</v>
      </c>
      <c r="D9" s="27">
        <f>COUNTIFS(Referencias!$B$6:$B$50,$A9,Referencias!$O$6:$O$50,D$8)</f>
        <v>4</v>
      </c>
      <c r="E9" s="27">
        <f>COUNTIFS(Referencias!$B$6:$B$50,$A9,Referencias!$O$6:$O$50,E$8)</f>
        <v>2</v>
      </c>
      <c r="F9" s="27">
        <f>COUNTIFS(Referencias!$B$6:$B$50,$A9,Referencias!$O$6:$O$50,F$8)</f>
        <v>9</v>
      </c>
      <c r="G9" s="27" t="str">
        <f>IF(C9=D9+E9+F9,"OK","Revisar")</f>
        <v>OK</v>
      </c>
      <c r="H9" s="28">
        <f>IF($C9=0,"",D9/$C9)</f>
        <v>0.26666666666666666</v>
      </c>
      <c r="I9" s="28">
        <f>IF($C9=0,"",(H9+$B$5^2/(2*$C9)-$B$5*SQRT(H9*(1-H9)/$C9+$B$5^2/(4*$C9^2)))/(1+$B$5^2/$C9))</f>
        <v>0.10897453325692369</v>
      </c>
      <c r="J9" s="28">
        <f>IF($C9=0,"",(H9+$B$5^2/(2*$C9)+$B$5*SQRT(H9*(1-H9)/$C9+$B$5^2/(4*$C9^2)))/(1+$B$5^2/$C9))</f>
        <v>0.51950434055980554</v>
      </c>
      <c r="K9" s="28">
        <f>IF($C9=0,"",IF(D9=0,0,BETAINV($B$4/2,D9,$C9-D9+1)))</f>
        <v>7.7871546291043592E-2</v>
      </c>
      <c r="L9" s="28">
        <f>IF($C9=0,"",IF(D9=$C9,1,BETAINV(1-$B$4/2,D9+1,$C9-D9)))</f>
        <v>0.55100324103697096</v>
      </c>
    </row>
    <row r="10" spans="1:12" x14ac:dyDescent="0.3">
      <c r="A10" s="25" t="s">
        <v>140</v>
      </c>
      <c r="B10" s="26" t="s">
        <v>278</v>
      </c>
      <c r="C10" s="27">
        <f>COUNTIFS(Referencias!$B$6:$B$50,$A10,Referencias!$O$6:$O$50,"&lt;&gt;")</f>
        <v>15</v>
      </c>
      <c r="D10" s="27">
        <f>COUNTIFS(Referencias!$B$6:$B$50,$A10,Referencias!$O$6:$O$50,D$8)</f>
        <v>11</v>
      </c>
      <c r="E10" s="27">
        <f>COUNTIFS(Referencias!$B$6:$B$50,$A10,Referencias!$O$6:$O$50,E$8)</f>
        <v>2</v>
      </c>
      <c r="F10" s="27">
        <f>COUNTIFS(Referencias!$B$6:$B$50,$A10,Referencias!$O$6:$O$50,F$8)</f>
        <v>2</v>
      </c>
      <c r="G10" s="27" t="str">
        <f>IF(C10=D10+E10+F10,"OK","Revisar")</f>
        <v>OK</v>
      </c>
      <c r="H10" s="28">
        <f>IF($C10=0,"",D10/$C10)</f>
        <v>0.73333333333333328</v>
      </c>
      <c r="I10" s="28">
        <f>IF($C10=0,"",(H10+$B$5^2/(2*$C10)-$B$5*SQRT(H10*(1-H10)/$C10+$B$5^2/(4*$C10^2)))/(1+$B$5^2/$C10))</f>
        <v>0.48049565944019434</v>
      </c>
      <c r="J10" s="28">
        <f>IF($C10=0,"",(H10+$B$5^2/(2*$C10)+$B$5*SQRT(H10*(1-H10)/$C10+$B$5^2/(4*$C10^2)))/(1+$B$5^2/$C10))</f>
        <v>0.89102546674307626</v>
      </c>
      <c r="K10" s="28">
        <f>IF($C10=0,"",IF(D10=0,0,BETAINV($B$4/2,D10,$C10-D10+1)))</f>
        <v>0.44899675896302904</v>
      </c>
      <c r="L10" s="28">
        <f>IF($C10=0,"",IF(D10=$C10,1,BETAINV(1-$B$4/2,D10+1,$C10-D10)))</f>
        <v>0.92212845370895646</v>
      </c>
    </row>
    <row r="11" spans="1:12" x14ac:dyDescent="0.3">
      <c r="A11" s="25" t="s">
        <v>208</v>
      </c>
      <c r="B11" s="26" t="s">
        <v>279</v>
      </c>
      <c r="C11" s="27">
        <f>COUNTIFS(Referencias!$B$6:$B$50,$A11,Referencias!$O$6:$O$50,"&lt;&gt;")</f>
        <v>7</v>
      </c>
      <c r="D11" s="27">
        <f>COUNTIFS(Referencias!$B$6:$B$50,$A11,Referencias!$O$6:$O$50,D$8)</f>
        <v>7</v>
      </c>
      <c r="E11" s="27">
        <f>COUNTIFS(Referencias!$B$6:$B$50,$A11,Referencias!$O$6:$O$50,E$8)</f>
        <v>0</v>
      </c>
      <c r="F11" s="27">
        <f>COUNTIFS(Referencias!$B$6:$B$50,$A11,Referencias!$O$6:$O$50,F$8)</f>
        <v>0</v>
      </c>
      <c r="G11" s="27" t="str">
        <f>IF(C11=D11+E11+F11,"OK","Revisar")</f>
        <v>OK</v>
      </c>
      <c r="H11" s="28">
        <f>IF($C11=0,"",D11/$C11)</f>
        <v>1</v>
      </c>
      <c r="I11" s="28">
        <f>IF($C11=0,"",(H11+$B$5^2/(2*$C11)-$B$5*SQRT(H11*(1-H11)/$C11+$B$5^2/(4*$C11^2)))/(1+$B$5^2/$C11))</f>
        <v>0.64566956493331262</v>
      </c>
      <c r="J11" s="28">
        <f>IF($C11=0,"",(H11+$B$5^2/(2*$C11)+$B$5*SQRT(H11*(1-H11)/$C11+$B$5^2/(4*$C11^2)))/(1+$B$5^2/$C11))</f>
        <v>0.99999999999999989</v>
      </c>
      <c r="K11" s="28">
        <f>IF($C11=0,"",IF(D11=0,0,BETAINV($B$4/2,D11,$C11-D11+1)))</f>
        <v>0.59038360277499669</v>
      </c>
      <c r="L11" s="28">
        <f>IF($C11=0,"",IF(D11=$C11,1,BETAINV(1-$B$4/2,D11+1,$C11-D11)))</f>
        <v>1</v>
      </c>
    </row>
    <row r="12" spans="1:12" ht="136.80000000000001" x14ac:dyDescent="0.3">
      <c r="A12" s="29" t="s">
        <v>280</v>
      </c>
    </row>
    <row r="15" spans="1:12" x14ac:dyDescent="0.3">
      <c r="A15" s="3" t="s">
        <v>281</v>
      </c>
      <c r="B15" s="4"/>
      <c r="C15" s="4"/>
      <c r="D15" s="4"/>
      <c r="E15" s="4"/>
    </row>
    <row r="16" spans="1:12" ht="48" customHeight="1" x14ac:dyDescent="0.3">
      <c r="A16" s="24" t="s">
        <v>268</v>
      </c>
      <c r="B16" s="24" t="s">
        <v>282</v>
      </c>
      <c r="C16" s="24" t="s">
        <v>283</v>
      </c>
      <c r="D16" s="24" t="s">
        <v>284</v>
      </c>
      <c r="E16" s="24" t="s">
        <v>285</v>
      </c>
    </row>
    <row r="17" spans="1:5" x14ac:dyDescent="0.3">
      <c r="A17" s="25" t="s">
        <v>65</v>
      </c>
      <c r="B17" s="27">
        <f>COUNTIFS(Referencias!$B$6:$B$50,$A17,Referencias!$N$6:$N$50,"Sí")+COUNTIFS(Referencias!$B$6:$B$50,$A17,Referencias!$N$6:$N$50,"No")</f>
        <v>15</v>
      </c>
      <c r="C17" s="27">
        <f>COUNTIFS(Referencias!$B$6:$B$50,$A17,Referencias!$N$6:$N$50,"No")</f>
        <v>2</v>
      </c>
      <c r="D17" s="28">
        <f>IF(B17=0,"",C17/B17)</f>
        <v>0.13333333333333333</v>
      </c>
      <c r="E17" s="27">
        <f>SUMPRODUCT((Referencias!$B$6:$B$50=$A17)*(Referencias!$N$6:$N$50="No")*(((Referencias!$K$6:$K$50=$E$8)+(Referencias!$L$6:$L$50=$E$8)+(Referencias!$M$6:$M$50=$E$8))&gt;0))</f>
        <v>2</v>
      </c>
    </row>
    <row r="18" spans="1:5" x14ac:dyDescent="0.3">
      <c r="A18" s="25" t="s">
        <v>140</v>
      </c>
      <c r="B18" s="27">
        <f>COUNTIFS(Referencias!$B$6:$B$50,$A18,Referencias!$N$6:$N$50,"Sí")+COUNTIFS(Referencias!$B$6:$B$50,$A18,Referencias!$N$6:$N$50,"No")</f>
        <v>15</v>
      </c>
      <c r="C18" s="27">
        <f>COUNTIFS(Referencias!$B$6:$B$50,$A18,Referencias!$N$6:$N$50,"No")</f>
        <v>1</v>
      </c>
      <c r="D18" s="28">
        <f>IF(B18=0,"",C18/B18)</f>
        <v>6.6666666666666666E-2</v>
      </c>
      <c r="E18" s="27">
        <f>SUMPRODUCT((Referencias!$B$6:$B$50=$A18)*(Referencias!$N$6:$N$50="No")*(((Referencias!$K$6:$K$50=$E$8)+(Referencias!$L$6:$L$50=$E$8)+(Referencias!$M$6:$M$50=$E$8))&gt;0))</f>
        <v>1</v>
      </c>
    </row>
    <row r="19" spans="1:5" x14ac:dyDescent="0.3">
      <c r="A19" s="25" t="s">
        <v>208</v>
      </c>
      <c r="B19" s="27">
        <f>COUNTIFS(Referencias!$B$6:$B$50,$A19,Referencias!$N$6:$N$50,"Sí")+COUNTIFS(Referencias!$B$6:$B$50,$A19,Referencias!$N$6:$N$50,"No")</f>
        <v>7</v>
      </c>
      <c r="C19" s="27">
        <f>COUNTIFS(Referencias!$B$6:$B$50,$A19,Referencias!$N$6:$N$50,"No")</f>
        <v>1</v>
      </c>
      <c r="D19" s="28">
        <f>IF(B19=0,"",C19/B19)</f>
        <v>0.14285714285714285</v>
      </c>
      <c r="E19" s="27">
        <f>SUMPRODUCT((Referencias!$B$6:$B$50=$A19)*(Referencias!$N$6:$N$50="No")*(((Referencias!$K$6:$K$50=$E$8)+(Referencias!$L$6:$L$50=$E$8)+(Referencias!$M$6:$M$50=$E$8))&gt;0))</f>
        <v>0</v>
      </c>
    </row>
    <row r="20" spans="1:5" x14ac:dyDescent="0.3">
      <c r="A20" s="25" t="s">
        <v>286</v>
      </c>
      <c r="B20" s="27">
        <f>SUM(B17:B19)</f>
        <v>37</v>
      </c>
      <c r="C20" s="27">
        <f>SUM(C17:C19)</f>
        <v>4</v>
      </c>
      <c r="D20" s="28">
        <f>IF(B20=0,"",C20/B20)</f>
        <v>0.10810810810810811</v>
      </c>
      <c r="E20" s="27">
        <f>SUM(E17:E19)</f>
        <v>3</v>
      </c>
    </row>
    <row r="21" spans="1:5" ht="102.6" x14ac:dyDescent="0.3">
      <c r="A21" s="29" t="s">
        <v>287</v>
      </c>
    </row>
    <row r="24" spans="1:5" x14ac:dyDescent="0.3">
      <c r="A24" s="3" t="s">
        <v>288</v>
      </c>
      <c r="B24" s="4"/>
      <c r="C24" s="4"/>
    </row>
    <row r="25" spans="1:5" ht="39.6" x14ac:dyDescent="0.3">
      <c r="A25" s="24" t="s">
        <v>289</v>
      </c>
      <c r="B25" s="24" t="s">
        <v>290</v>
      </c>
      <c r="C25" s="24" t="s">
        <v>291</v>
      </c>
      <c r="D25" s="24" t="s">
        <v>292</v>
      </c>
    </row>
    <row r="26" spans="1:5" x14ac:dyDescent="0.3">
      <c r="A26" s="26" t="s">
        <v>293</v>
      </c>
      <c r="B26" s="27">
        <f>COUNTIFS(Referencias!$K$6:$K$50,"&lt;&gt;",Referencias!$L$6:$L$50,"&lt;&gt;")</f>
        <v>37</v>
      </c>
      <c r="C26" s="28">
        <f>IF(B26=0,"",(COUNTIFS(Referencias!$K$6:$K$50,$D$8,Referencias!$L$6:$L$50,$D$8)+COUNTIFS(Referencias!$K$6:$K$50,$E$8,Referencias!$L$6:$L$50,$E$8)+COUNTIFS(Referencias!$K$6:$K$50,$F$8,Referencias!$L$6:$L$50,$F$8))/B26)</f>
        <v>0.97297297297297303</v>
      </c>
      <c r="D26" s="30">
        <f>IF(B26=0,"",IF(1-((COUNTIFS(Referencias!$K$6:$K$50,$D$8)*COUNTIFS(Referencias!$L$6:$L$50,$D$8)+COUNTIFS(Referencias!$K$6:$K$50,$E$8)*COUNTIFS(Referencias!$L$6:$L$50,$E$8)+COUNTIFS(Referencias!$K$6:$K$50,$F$8)*COUNTIFS(Referencias!$L$6:$L$50,$F$8))/B26^2)=0,"",(C26-((COUNTIFS(Referencias!$K$6:$K$50,$D$8)*COUNTIFS(Referencias!$L$6:$L$50,$D$8)+COUNTIFS(Referencias!$K$6:$K$50,$E$8)*COUNTIFS(Referencias!$L$6:$L$50,$E$8)+COUNTIFS(Referencias!$K$6:$K$50,$F$8)*COUNTIFS(Referencias!$L$6:$L$50,$F$8))/B26^2))/(1-((COUNTIFS(Referencias!$K$6:$K$50,$D$8)*COUNTIFS(Referencias!$L$6:$L$50,$D$8)+COUNTIFS(Referencias!$K$6:$K$50,$E$8)*COUNTIFS(Referencias!$L$6:$L$50,$E$8)+COUNTIFS(Referencias!$K$6:$K$50,$F$8)*COUNTIFS(Referencias!$L$6:$L$50,$F$8))/B26^2))))</f>
        <v>0.94832402234636881</v>
      </c>
    </row>
    <row r="27" spans="1:5" x14ac:dyDescent="0.3">
      <c r="A27" s="26" t="s">
        <v>294</v>
      </c>
      <c r="B27" s="27">
        <f>COUNTIFS(Referencias!$K$6:$K$50,"&lt;&gt;",Referencias!$M$6:$M$50,"&lt;&gt;")</f>
        <v>37</v>
      </c>
      <c r="C27" s="28">
        <f>IF(B27=0,"",(COUNTIFS(Referencias!$K$6:$K$50,$D$8,Referencias!$M$6:$M$50,$D$8)+COUNTIFS(Referencias!$K$6:$K$50,$E$8,Referencias!$M$6:$M$50,$E$8)+COUNTIFS(Referencias!$K$6:$K$50,$F$8,Referencias!$M$6:$M$50,$F$8))/B27)</f>
        <v>0.89189189189189189</v>
      </c>
      <c r="D27" s="30">
        <f>IF(B27=0,"",IF(1-((COUNTIFS(Referencias!$K$6:$K$50,$D$8)*COUNTIFS(Referencias!$M$6:$M$50,$D$8)+COUNTIFS(Referencias!$K$6:$K$50,$E$8)*COUNTIFS(Referencias!$M$6:$M$50,$E$8)+COUNTIFS(Referencias!$K$6:$K$50,$F$8)*COUNTIFS(Referencias!$M$6:$M$50,$F$8))/B27^2)=0,"",(C27-((COUNTIFS(Referencias!$K$6:$K$50,$D$8)*COUNTIFS(Referencias!$M$6:$M$50,$D$8)+COUNTIFS(Referencias!$K$6:$K$50,$E$8)*COUNTIFS(Referencias!$M$6:$M$50,$E$8)+COUNTIFS(Referencias!$K$6:$K$50,$F$8)*COUNTIFS(Referencias!$M$6:$M$50,$F$8))/B27^2))/(1-((COUNTIFS(Referencias!$K$6:$K$50,$D$8)*COUNTIFS(Referencias!$M$6:$M$50,$D$8)+COUNTIFS(Referencias!$K$6:$K$50,$E$8)*COUNTIFS(Referencias!$M$6:$M$50,$E$8)+COUNTIFS(Referencias!$K$6:$K$50,$F$8)*COUNTIFS(Referencias!$M$6:$M$50,$F$8))/B27^2))))</f>
        <v>0.78581765557163541</v>
      </c>
    </row>
    <row r="28" spans="1:5" x14ac:dyDescent="0.3">
      <c r="A28" s="26" t="s">
        <v>295</v>
      </c>
      <c r="B28" s="27">
        <f>COUNTIFS(Referencias!$L$6:$L$50,"&lt;&gt;",Referencias!$M$6:$M$50,"&lt;&gt;")</f>
        <v>37</v>
      </c>
      <c r="C28" s="28">
        <f>IF(B28=0,"",(COUNTIFS(Referencias!$L$6:$L$50,$D$8,Referencias!$M$6:$M$50,$D$8)+COUNTIFS(Referencias!$L$6:$L$50,$E$8,Referencias!$M$6:$M$50,$E$8)+COUNTIFS(Referencias!$L$6:$L$50,$F$8,Referencias!$M$6:$M$50,$F$8))/B28)</f>
        <v>0.91891891891891897</v>
      </c>
      <c r="D28" s="30">
        <f>IF(B28=0,"",IF(1-((COUNTIFS(Referencias!$L$6:$L$50,$D$8)*COUNTIFS(Referencias!$M$6:$M$50,$D$8)+COUNTIFS(Referencias!$L$6:$L$50,$E$8)*COUNTIFS(Referencias!$M$6:$M$50,$E$8)+COUNTIFS(Referencias!$L$6:$L$50,$F$8)*COUNTIFS(Referencias!$M$6:$M$50,$F$8))/B28^2)=0,"",(C28-((COUNTIFS(Referencias!$L$6:$L$50,$D$8)*COUNTIFS(Referencias!$M$6:$M$50,$D$8)+COUNTIFS(Referencias!$L$6:$L$50,$E$8)*COUNTIFS(Referencias!$M$6:$M$50,$E$8)+COUNTIFS(Referencias!$L$6:$L$50,$F$8)*COUNTIFS(Referencias!$M$6:$M$50,$F$8))/B28^2))/(1-((COUNTIFS(Referencias!$L$6:$L$50,$D$8)*COUNTIFS(Referencias!$M$6:$M$50,$D$8)+COUNTIFS(Referencias!$L$6:$L$50,$E$8)*COUNTIFS(Referencias!$M$6:$M$50,$E$8)+COUNTIFS(Referencias!$L$6:$L$50,$F$8)*COUNTIFS(Referencias!$M$6:$M$50,$F$8))/B28^2))))</f>
        <v>0.8441011235955056</v>
      </c>
    </row>
    <row r="30" spans="1:5" ht="57" x14ac:dyDescent="0.3">
      <c r="A30" s="29" t="s">
        <v>296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tabSelected="1" zoomScale="88" zoomScaleNormal="88" workbookViewId="0">
      <pane ySplit="4" topLeftCell="A6" activePane="bottomLeft" state="frozen"/>
      <selection pane="bottomLeft" activeCell="L7" sqref="L7"/>
    </sheetView>
  </sheetViews>
  <sheetFormatPr baseColWidth="10" defaultColWidth="8.6640625" defaultRowHeight="13.8" x14ac:dyDescent="0.25"/>
  <cols>
    <col min="1" max="1" width="10" style="8" customWidth="1"/>
    <col min="2" max="2" width="20" style="8" customWidth="1"/>
    <col min="3" max="3" width="12" style="8" customWidth="1"/>
    <col min="4" max="4" width="30" style="8" customWidth="1"/>
    <col min="5" max="5" width="16" style="8" customWidth="1"/>
    <col min="6" max="6" width="70" style="8" customWidth="1"/>
    <col min="7" max="7" width="34" style="8" customWidth="1"/>
    <col min="8" max="16384" width="8.6640625" style="8"/>
  </cols>
  <sheetData>
    <row r="1" spans="1:7" ht="17.399999999999999" x14ac:dyDescent="0.3">
      <c r="A1" s="9" t="s">
        <v>297</v>
      </c>
    </row>
    <row r="2" spans="1:7" x14ac:dyDescent="0.25">
      <c r="A2" s="10" t="s">
        <v>298</v>
      </c>
    </row>
    <row r="4" spans="1:7" ht="26.4" x14ac:dyDescent="0.25">
      <c r="A4" s="11" t="s">
        <v>47</v>
      </c>
      <c r="B4" s="11" t="s">
        <v>299</v>
      </c>
      <c r="C4" s="11" t="s">
        <v>268</v>
      </c>
      <c r="D4" s="11" t="s">
        <v>300</v>
      </c>
      <c r="E4" s="11" t="s">
        <v>301</v>
      </c>
      <c r="F4" s="11" t="s">
        <v>302</v>
      </c>
      <c r="G4" s="11" t="s">
        <v>63</v>
      </c>
    </row>
    <row r="5" spans="1:7" ht="409.6" x14ac:dyDescent="0.25">
      <c r="A5" s="13" t="s">
        <v>66</v>
      </c>
      <c r="B5" s="12" t="s">
        <v>303</v>
      </c>
      <c r="C5" s="12" t="s">
        <v>65</v>
      </c>
      <c r="D5" s="32" t="s">
        <v>304</v>
      </c>
      <c r="E5" s="33">
        <v>46289</v>
      </c>
      <c r="F5" s="32" t="s">
        <v>305</v>
      </c>
      <c r="G5" s="34" t="s">
        <v>277</v>
      </c>
    </row>
    <row r="6" spans="1:7" ht="409.6" x14ac:dyDescent="0.25">
      <c r="A6" s="13" t="s">
        <v>66</v>
      </c>
      <c r="B6" s="12" t="s">
        <v>303</v>
      </c>
      <c r="C6" s="12" t="s">
        <v>140</v>
      </c>
      <c r="D6" s="32" t="s">
        <v>306</v>
      </c>
      <c r="E6" s="33" t="s">
        <v>307</v>
      </c>
      <c r="F6" s="32" t="s">
        <v>305</v>
      </c>
      <c r="G6" s="34" t="s">
        <v>278</v>
      </c>
    </row>
    <row r="7" spans="1:7" ht="409.6" x14ac:dyDescent="0.25">
      <c r="A7" s="13" t="s">
        <v>66</v>
      </c>
      <c r="B7" s="12" t="s">
        <v>303</v>
      </c>
      <c r="C7" s="12" t="s">
        <v>208</v>
      </c>
      <c r="D7" s="32" t="s">
        <v>406</v>
      </c>
      <c r="E7" s="33">
        <v>46289</v>
      </c>
      <c r="F7" s="32" t="s">
        <v>308</v>
      </c>
      <c r="G7" s="34" t="s">
        <v>279</v>
      </c>
    </row>
    <row r="8" spans="1:7" ht="409.6" x14ac:dyDescent="0.25">
      <c r="A8" s="19" t="s">
        <v>102</v>
      </c>
      <c r="B8" s="12" t="s">
        <v>309</v>
      </c>
      <c r="C8" s="12" t="s">
        <v>65</v>
      </c>
      <c r="D8" s="32" t="s">
        <v>304</v>
      </c>
      <c r="E8" s="33">
        <v>46289</v>
      </c>
      <c r="F8" s="32" t="s">
        <v>310</v>
      </c>
      <c r="G8" s="34" t="s">
        <v>277</v>
      </c>
    </row>
    <row r="9" spans="1:7" ht="409.2" customHeight="1" x14ac:dyDescent="0.25">
      <c r="A9" s="19" t="s">
        <v>102</v>
      </c>
      <c r="B9" s="12" t="s">
        <v>309</v>
      </c>
      <c r="C9" s="12" t="s">
        <v>140</v>
      </c>
      <c r="D9" s="32" t="s">
        <v>306</v>
      </c>
      <c r="E9" s="33">
        <v>46289</v>
      </c>
      <c r="F9" s="32" t="s">
        <v>311</v>
      </c>
      <c r="G9" s="34" t="s">
        <v>278</v>
      </c>
    </row>
    <row r="10" spans="1:7" ht="290.39999999999998" x14ac:dyDescent="0.25">
      <c r="A10" s="19" t="s">
        <v>102</v>
      </c>
      <c r="B10" s="12" t="s">
        <v>309</v>
      </c>
      <c r="C10" s="12" t="s">
        <v>208</v>
      </c>
      <c r="D10" s="32" t="s">
        <v>406</v>
      </c>
      <c r="E10" s="33">
        <v>46289</v>
      </c>
      <c r="F10" s="32" t="s">
        <v>364</v>
      </c>
      <c r="G10" s="34" t="s">
        <v>279</v>
      </c>
    </row>
    <row r="11" spans="1:7" ht="259.2" customHeight="1" x14ac:dyDescent="0.25">
      <c r="A11" s="20" t="s">
        <v>134</v>
      </c>
      <c r="B11" s="12" t="s">
        <v>312</v>
      </c>
      <c r="C11" s="12" t="s">
        <v>65</v>
      </c>
      <c r="D11" s="32" t="s">
        <v>304</v>
      </c>
      <c r="E11" s="33">
        <v>46290</v>
      </c>
      <c r="F11" s="32" t="s">
        <v>338</v>
      </c>
      <c r="G11" s="34" t="s">
        <v>277</v>
      </c>
    </row>
    <row r="12" spans="1:7" ht="208.8" customHeight="1" x14ac:dyDescent="0.25">
      <c r="A12" s="20" t="s">
        <v>134</v>
      </c>
      <c r="B12" s="12" t="s">
        <v>312</v>
      </c>
      <c r="C12" s="12" t="s">
        <v>140</v>
      </c>
      <c r="D12" s="32" t="s">
        <v>306</v>
      </c>
      <c r="E12" s="33">
        <v>46291</v>
      </c>
      <c r="F12" s="32" t="s">
        <v>338</v>
      </c>
      <c r="G12" s="34" t="s">
        <v>278</v>
      </c>
    </row>
    <row r="13" spans="1:7" ht="409.6" x14ac:dyDescent="0.25">
      <c r="A13" s="20" t="s">
        <v>134</v>
      </c>
      <c r="B13" s="12" t="s">
        <v>312</v>
      </c>
      <c r="C13" s="12" t="s">
        <v>208</v>
      </c>
      <c r="D13" s="32" t="s">
        <v>406</v>
      </c>
      <c r="E13" s="33">
        <v>46291</v>
      </c>
      <c r="F13" s="32" t="s">
        <v>363</v>
      </c>
      <c r="G13" s="34" t="s">
        <v>279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42</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Referencias</vt:lpstr>
      <vt:lpstr>Conteo</vt:lpstr>
      <vt:lpstr>Registro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Juan Roa Castañeda</cp:lastModifiedBy>
  <cp:revision>2</cp:revision>
  <dcterms:created xsi:type="dcterms:W3CDTF">2026-09-24T14:59:31Z</dcterms:created>
  <dcterms:modified xsi:type="dcterms:W3CDTF">2026-10-01T22:26:32Z</dcterms:modified>
  <dc:language>en-US</dc:language>
</cp:coreProperties>
</file>